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di\Desktop\实习2\桂平固废\桂平电子化送审资料\0 审计底稿\桂平金山审计底稿\"/>
    </mc:Choice>
  </mc:AlternateContent>
  <xr:revisionPtr revIDLastSave="0" documentId="13_ncr:1_{CD3DB304-F292-48BD-8B0E-E2A18047B5CA}" xr6:coauthVersionLast="47" xr6:coauthVersionMax="47" xr10:uidLastSave="{00000000-0000-0000-0000-000000000000}"/>
  <bookViews>
    <workbookView xWindow="-110" yWindow="-110" windowWidth="19420" windowHeight="10560" tabRatio="846" activeTab="4" xr2:uid="{00000000-000D-0000-FFFF-FFFF00000000}"/>
  </bookViews>
  <sheets>
    <sheet name="index" sheetId="1" r:id="rId1"/>
    <sheet name="WP-00" sheetId="55" r:id="rId2"/>
    <sheet name="WP-01" sheetId="4" r:id="rId3"/>
    <sheet name="WP-02" sheetId="56" r:id="rId4"/>
    <sheet name="WP-03" sheetId="57" r:id="rId5"/>
    <sheet name="WP-04" sheetId="58" r:id="rId6"/>
    <sheet name="CS" sheetId="37" state="hidden" r:id="rId7"/>
    <sheet name="Tips" sheetId="31" state="hidden" r:id="rId8"/>
    <sheet name="MB" sheetId="54" state="veryHidden" r:id="rId9"/>
  </sheets>
  <externalReferences>
    <externalReference r:id="rId10"/>
  </externalReferences>
  <definedNames>
    <definedName name="_xlnm._FilterDatabase" localSheetId="3" hidden="1">'[1]关联交易-存款'!#REF!</definedName>
    <definedName name="_xlnm._FilterDatabase" localSheetId="4" hidden="1">'[1]关联交易-存款'!#REF!</definedName>
    <definedName name="_xlnm._FilterDatabase" localSheetId="5" hidden="1">'[1]关联交易-存款'!#REF!</definedName>
    <definedName name="_xlnm._FilterDatabase" hidden="1">'[1]关联交易-存款'!#REF!</definedName>
    <definedName name="a" hidden="1">{#N/A,#N/A,FALSE,"主要经济指标完成情况表"}</definedName>
    <definedName name="aa" hidden="1">{#N/A,#N/A,FALSE,"负债表"}</definedName>
    <definedName name="aaa" hidden="1">{#N/A,#N/A,FALSE,"主要经济指标完成情况表"}</definedName>
    <definedName name="AS2DocOpenMode" hidden="1">"AS2DocumentEdit"</definedName>
    <definedName name="b" hidden="1">{#N/A,#N/A,FALSE,"主要经济指标完成情况表"}</definedName>
    <definedName name="er" hidden="1">{#N/A,#N/A,FALSE,"主要经济指标完成情况表"}</definedName>
    <definedName name="feeee" hidden="1">{#N/A,#N/A,FALSE,"主要经济指标完成情况表"}</definedName>
    <definedName name="haha" hidden="1">{#N/A,#N/A,FALSE,"负债表"}</definedName>
    <definedName name="HTML_CodePage" hidden="1">936</definedName>
    <definedName name="HTML_Control" hidden="1">{"'四月'!$A$1:$L$12"}</definedName>
    <definedName name="HTML_Description" hidden="1">""</definedName>
    <definedName name="HTML_Email" hidden="1">""</definedName>
    <definedName name="HTML_Header" hidden="1">"四月"</definedName>
    <definedName name="HTML_LastUpdate" hidden="1">"2002-04-30"</definedName>
    <definedName name="HTML_LineAfter" hidden="1">FALSE</definedName>
    <definedName name="HTML_LineBefore" hidden="1">FALSE</definedName>
    <definedName name="HTML_Name" hidden="1">"USER"</definedName>
    <definedName name="HTML_OBDlg2" hidden="1">TRUE</definedName>
    <definedName name="HTML_OBDlg4" hidden="1">TRUE</definedName>
    <definedName name="HTML_OS" hidden="1">0</definedName>
    <definedName name="HTML_PathFile" hidden="1">"C:\My Documents\MyHTML.htm"</definedName>
    <definedName name="HTML_Title" hidden="1">"车间成本计算底稿"</definedName>
    <definedName name="jcqkb" hidden="1">{#N/A,#N/A,FALSE,"负债表"}</definedName>
    <definedName name="jkls" hidden="1">{#N/A,#N/A,FALSE,"负债表"}</definedName>
    <definedName name="_xlnm.Print_Area" localSheetId="6">CS!$A$1:$G$175</definedName>
    <definedName name="_xlnm.Print_Area" localSheetId="0">index!$B$1:$M$12</definedName>
    <definedName name="_xlnm.Print_Area" localSheetId="8">MB!$B$1:$M$32</definedName>
    <definedName name="_xlnm.Print_Area" localSheetId="1">'WP-00'!$B$1:$Q$44</definedName>
    <definedName name="_xlnm.Print_Area" localSheetId="2">'WP-01'!$B$1:$J$32</definedName>
    <definedName name="_xlnm.Print_Area" localSheetId="3">'WP-02'!$B$1:$K$67</definedName>
    <definedName name="_xlnm.Print_Area" localSheetId="4">'WP-03'!$B$1:$N$68</definedName>
    <definedName name="_xlnm.Print_Area" localSheetId="5">'WP-04'!$B$1:$N$59</definedName>
    <definedName name="_xlnm.Print_Titles" localSheetId="2">'WP-01'!$1:$1</definedName>
    <definedName name="TextRefCopyRangeCount" hidden="1">4</definedName>
    <definedName name="wo" hidden="1">{#N/A,#N/A,FALSE,"负债表"}</definedName>
    <definedName name="wrn.负债表." hidden="1">{#N/A,#N/A,FALSE,"负债表"}</definedName>
    <definedName name="wrn.主要经济指标完成情况表." hidden="1">{#N/A,#N/A,FALSE,"主要经济指标完成情况表"}</definedName>
    <definedName name="yu" hidden="1">{#N/A,#N/A,FALSE,"负债表"}</definedName>
    <definedName name="yuer" hidden="1">{#N/A,#N/A,FALSE,"负债表"}</definedName>
    <definedName name="yuewr" hidden="1">{#N/A,#N/A,FALSE,"主要经济指标完成情况表"}</definedName>
    <definedName name="yuti" hidden="1">{#N/A,#N/A,FALSE,"负债表"}</definedName>
    <definedName name="财务费用检查情况表" hidden="1">{#N/A,#N/A,FALSE,"负债表"}</definedName>
    <definedName name="的" hidden="1">{#N/A,#N/A,FALSE,"负债表"}</definedName>
    <definedName name="还借款" hidden="1">{#N/A,#N/A,FALSE,"负债表"}</definedName>
    <definedName name="梅州农业成本明细表0512" hidden="1">{#N/A,#N/A,FALSE,"负债表"}</definedName>
    <definedName name="其他应收款vt" hidden="1">{#N/A,#N/A,FALSE,"负债表"}</definedName>
    <definedName name="其他应收款余额明细表" hidden="1">{#N/A,#N/A,FALSE,"负债表"}</definedName>
    <definedName name="销售" hidden="1">{#N/A,#N/A,FALSE,"负债表"}</definedName>
    <definedName name="销售费用检查表" hidden="1">{#N/A,#N/A,FALSE,"负债表"}</definedName>
    <definedName name="应收帐款" hidden="1">{#N/A,#N/A,FALSE,"负债表"}</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J36" i="57" l="1"/>
  <c r="P31" i="57"/>
  <c r="P32" i="57"/>
  <c r="P33" i="57"/>
  <c r="P34" i="57"/>
  <c r="P35" i="57"/>
  <c r="P36" i="57"/>
  <c r="P37" i="57"/>
  <c r="P38" i="57"/>
  <c r="O31" i="57"/>
  <c r="O32" i="57"/>
  <c r="O33" i="57"/>
  <c r="O34" i="57"/>
  <c r="O35" i="57"/>
  <c r="O36" i="57"/>
  <c r="O37" i="57"/>
  <c r="O38" i="57"/>
  <c r="J33" i="57"/>
  <c r="J31" i="57"/>
  <c r="J32" i="57"/>
  <c r="J34" i="57"/>
  <c r="J35" i="57"/>
  <c r="J37" i="57"/>
  <c r="J38" i="57"/>
  <c r="H37" i="58"/>
  <c r="H38" i="58"/>
  <c r="H39" i="58"/>
  <c r="H40" i="58"/>
  <c r="H41" i="58"/>
  <c r="H42" i="58"/>
  <c r="H36" i="58"/>
  <c r="H7" i="58"/>
  <c r="H8" i="58"/>
  <c r="H9" i="58"/>
  <c r="H10" i="58"/>
  <c r="H11" i="58"/>
  <c r="H12" i="58"/>
  <c r="H13" i="58"/>
  <c r="H14" i="58"/>
  <c r="H15" i="58"/>
  <c r="H16" i="58"/>
  <c r="H17" i="58"/>
  <c r="H18" i="58"/>
  <c r="H19" i="58"/>
  <c r="H20" i="58"/>
  <c r="H21" i="58"/>
  <c r="H22" i="58"/>
  <c r="H23" i="58"/>
  <c r="H24" i="58"/>
  <c r="H25" i="58"/>
  <c r="H26" i="58"/>
  <c r="H27" i="58"/>
  <c r="H28" i="58"/>
  <c r="H29" i="58"/>
  <c r="H30" i="58"/>
  <c r="H31" i="58"/>
  <c r="H32" i="58"/>
  <c r="H33" i="58"/>
  <c r="H34" i="58"/>
  <c r="H35" i="58"/>
  <c r="H6" i="58"/>
  <c r="O25" i="58"/>
  <c r="P7" i="58"/>
  <c r="P8" i="58"/>
  <c r="P9" i="58"/>
  <c r="P10" i="58"/>
  <c r="P11" i="58"/>
  <c r="P12" i="58"/>
  <c r="P13" i="58"/>
  <c r="P14" i="58"/>
  <c r="P15" i="58"/>
  <c r="P16" i="58"/>
  <c r="P17" i="58"/>
  <c r="P18" i="58"/>
  <c r="P19" i="58"/>
  <c r="P20" i="58"/>
  <c r="P21" i="58"/>
  <c r="P22" i="58"/>
  <c r="P23" i="58"/>
  <c r="P24" i="58"/>
  <c r="P25" i="58"/>
  <c r="P33" i="58"/>
  <c r="P34" i="58"/>
  <c r="P35" i="58"/>
  <c r="P36" i="58"/>
  <c r="P37" i="58"/>
  <c r="P38" i="58"/>
  <c r="P39" i="58"/>
  <c r="P40" i="58"/>
  <c r="P41" i="58"/>
  <c r="P42" i="58"/>
  <c r="P43" i="58"/>
  <c r="O7" i="58"/>
  <c r="O8" i="58"/>
  <c r="O9" i="58"/>
  <c r="O10" i="58"/>
  <c r="O11" i="58"/>
  <c r="O12" i="58"/>
  <c r="O13" i="58"/>
  <c r="O14" i="58"/>
  <c r="O15" i="58"/>
  <c r="O16" i="58"/>
  <c r="O17" i="58"/>
  <c r="O18" i="58"/>
  <c r="O19" i="58"/>
  <c r="O20" i="58"/>
  <c r="O21" i="58"/>
  <c r="O22" i="58"/>
  <c r="O23" i="58"/>
  <c r="O24" i="58"/>
  <c r="O33" i="58"/>
  <c r="O34" i="58"/>
  <c r="O35" i="58"/>
  <c r="O36" i="58"/>
  <c r="O37" i="58"/>
  <c r="O38" i="58"/>
  <c r="O39" i="58"/>
  <c r="O40" i="58"/>
  <c r="O41" i="58"/>
  <c r="O42" i="58"/>
  <c r="O43" i="58"/>
  <c r="P6" i="58"/>
  <c r="O6" i="58"/>
  <c r="J19" i="57"/>
  <c r="J18" i="57"/>
  <c r="J17" i="57"/>
  <c r="J16" i="57"/>
  <c r="J21" i="57"/>
  <c r="J20" i="57"/>
  <c r="J23" i="57"/>
  <c r="J22" i="57"/>
  <c r="J15" i="57"/>
  <c r="J13" i="57"/>
  <c r="J12" i="57"/>
  <c r="J11" i="57"/>
  <c r="J10" i="57"/>
  <c r="J24" i="57"/>
  <c r="J25" i="57"/>
  <c r="J26" i="57"/>
  <c r="J27" i="57"/>
  <c r="J28" i="57"/>
  <c r="J29" i="57"/>
  <c r="J30" i="57"/>
  <c r="J9" i="57"/>
  <c r="P10" i="57"/>
  <c r="P11" i="57"/>
  <c r="P12" i="57"/>
  <c r="P13" i="57"/>
  <c r="P14" i="57"/>
  <c r="P15" i="57"/>
  <c r="P16" i="57"/>
  <c r="P17" i="57"/>
  <c r="P18" i="57"/>
  <c r="P19" i="57"/>
  <c r="P20" i="57"/>
  <c r="P21" i="57"/>
  <c r="P22" i="57"/>
  <c r="P23" i="57"/>
  <c r="P24" i="57"/>
  <c r="P25" i="57"/>
  <c r="P26" i="57"/>
  <c r="P27" i="57"/>
  <c r="P28" i="57"/>
  <c r="P29" i="57"/>
  <c r="P30" i="57"/>
  <c r="O10" i="57"/>
  <c r="O11" i="57"/>
  <c r="O12" i="57"/>
  <c r="O13" i="57"/>
  <c r="O14" i="57"/>
  <c r="O15" i="57"/>
  <c r="O16" i="57"/>
  <c r="O17" i="57"/>
  <c r="O18" i="57"/>
  <c r="O19" i="57"/>
  <c r="O20" i="57"/>
  <c r="O21" i="57"/>
  <c r="O22" i="57"/>
  <c r="O23" i="57"/>
  <c r="O24" i="57"/>
  <c r="O25" i="57"/>
  <c r="O26" i="57"/>
  <c r="O27" i="57"/>
  <c r="O28" i="57"/>
  <c r="O29" i="57"/>
  <c r="O30" i="57"/>
  <c r="P9" i="57"/>
  <c r="O9" i="57"/>
  <c r="I11" i="1" l="1"/>
  <c r="I10" i="1"/>
  <c r="I9" i="1"/>
  <c r="I8" i="1"/>
  <c r="H63" i="56"/>
  <c r="F63" i="56"/>
  <c r="J52" i="56"/>
  <c r="G52" i="56"/>
  <c r="J51" i="56"/>
  <c r="G51" i="56"/>
  <c r="J50" i="56"/>
  <c r="G50" i="56"/>
  <c r="J49" i="56"/>
  <c r="G49" i="56"/>
  <c r="J48" i="56"/>
  <c r="G48" i="56"/>
  <c r="J47" i="56"/>
  <c r="G47" i="56"/>
  <c r="J46" i="56"/>
  <c r="G46" i="56"/>
  <c r="J45" i="56"/>
  <c r="G45" i="56"/>
  <c r="J44" i="56"/>
  <c r="G44" i="56"/>
  <c r="J43" i="56"/>
  <c r="G43" i="56"/>
  <c r="J42" i="56"/>
  <c r="G42" i="56"/>
  <c r="J41" i="56"/>
  <c r="G41" i="56"/>
  <c r="J35" i="56"/>
  <c r="G35" i="56"/>
  <c r="J34" i="56"/>
  <c r="G34" i="56"/>
  <c r="J33" i="56"/>
  <c r="G33" i="56"/>
  <c r="J32" i="56"/>
  <c r="G32" i="56"/>
  <c r="J31" i="56"/>
  <c r="G31" i="56"/>
  <c r="J30" i="56"/>
  <c r="G30" i="56"/>
  <c r="J29" i="56"/>
  <c r="G29" i="56"/>
  <c r="J28" i="56"/>
  <c r="G28" i="56"/>
  <c r="J27" i="56"/>
  <c r="G27" i="56"/>
  <c r="J26" i="56"/>
  <c r="G26" i="56"/>
  <c r="J25" i="56"/>
  <c r="G25" i="56"/>
  <c r="J24" i="56"/>
  <c r="G24" i="56"/>
  <c r="J18" i="56"/>
  <c r="G18" i="56"/>
  <c r="J17" i="56"/>
  <c r="G17" i="56"/>
  <c r="J16" i="56"/>
  <c r="G16" i="56"/>
  <c r="J15" i="56"/>
  <c r="G15" i="56"/>
  <c r="J14" i="56"/>
  <c r="G14" i="56"/>
  <c r="J13" i="56"/>
  <c r="G13" i="56"/>
  <c r="J12" i="56"/>
  <c r="G12" i="56"/>
  <c r="J11" i="56"/>
  <c r="G11" i="56"/>
  <c r="J10" i="56"/>
  <c r="G10" i="56"/>
  <c r="J9" i="56"/>
  <c r="G9" i="56"/>
  <c r="J8" i="56"/>
  <c r="G8" i="56"/>
  <c r="J7" i="56"/>
  <c r="G7" i="56"/>
  <c r="N1" i="58"/>
  <c r="F11" i="1"/>
  <c r="G11" i="1"/>
  <c r="J11" i="1"/>
  <c r="K11" i="1"/>
  <c r="M11" i="1"/>
  <c r="J20" i="56" l="1"/>
  <c r="J37" i="56"/>
  <c r="J54" i="56"/>
  <c r="G20" i="56"/>
  <c r="G37" i="56"/>
  <c r="G54" i="56"/>
  <c r="I7" i="1" l="1"/>
  <c r="F8" i="1" l="1"/>
  <c r="G8" i="1"/>
  <c r="J8" i="1"/>
  <c r="K8" i="1"/>
  <c r="M8" i="1"/>
  <c r="F9" i="1"/>
  <c r="G9" i="1"/>
  <c r="J9" i="1"/>
  <c r="K9" i="1"/>
  <c r="M9" i="1"/>
  <c r="F10" i="1"/>
  <c r="G10" i="1"/>
  <c r="J10" i="1"/>
  <c r="K10" i="1"/>
  <c r="M10" i="1"/>
  <c r="M7" i="1"/>
  <c r="K7" i="1"/>
  <c r="J7" i="1"/>
  <c r="G7" i="1"/>
  <c r="F7" i="1"/>
  <c r="N1" i="57" l="1"/>
  <c r="K1" i="56"/>
  <c r="J1" i="4"/>
  <c r="Q1" i="55"/>
  <c r="C47" i="54"/>
  <c r="C46" i="54"/>
  <c r="C45" i="54"/>
  <c r="C44" i="54"/>
  <c r="C43" i="54"/>
  <c r="C42" i="54"/>
  <c r="C41" i="54"/>
  <c r="C40" i="54"/>
  <c r="C39" i="54"/>
  <c r="C37" i="54"/>
  <c r="C36" i="54"/>
  <c r="C35" i="54"/>
  <c r="N5" i="37"/>
  <c r="N6" i="37"/>
  <c r="N7" i="37"/>
  <c r="N8" i="37"/>
  <c r="N9" i="37"/>
  <c r="N10" i="37"/>
  <c r="N11" i="37"/>
  <c r="N12" i="37"/>
  <c r="N13" i="37"/>
  <c r="N14" i="37"/>
  <c r="N15" i="37"/>
  <c r="N16" i="37"/>
  <c r="N17" i="37"/>
  <c r="N18" i="37"/>
  <c r="N19" i="37"/>
  <c r="N20" i="37"/>
  <c r="N21" i="37"/>
  <c r="N22" i="37"/>
  <c r="N23" i="37"/>
  <c r="N24" i="37"/>
  <c r="N25" i="37"/>
  <c r="N26" i="37"/>
  <c r="N27" i="37"/>
  <c r="N28" i="37"/>
  <c r="N29" i="37"/>
  <c r="N30" i="37"/>
  <c r="N31" i="37"/>
  <c r="N32" i="37"/>
  <c r="N33" i="37"/>
  <c r="N34" i="37"/>
  <c r="N35" i="37"/>
  <c r="N36" i="37"/>
  <c r="N37" i="37"/>
  <c r="N38" i="37"/>
  <c r="N39" i="37"/>
  <c r="N40" i="37"/>
  <c r="N41" i="37"/>
  <c r="N42" i="37"/>
  <c r="N43" i="37"/>
  <c r="N44" i="37"/>
  <c r="N45" i="37"/>
  <c r="N46" i="37"/>
  <c r="N47" i="37"/>
  <c r="N48" i="37"/>
  <c r="N49" i="37"/>
  <c r="N50" i="37"/>
  <c r="N51" i="37"/>
  <c r="N52" i="37"/>
  <c r="N53" i="37"/>
  <c r="N54" i="37"/>
  <c r="N55" i="37"/>
  <c r="N56" i="37"/>
  <c r="N57" i="37"/>
  <c r="N58" i="37"/>
  <c r="N59" i="37"/>
  <c r="N60" i="37"/>
  <c r="N61" i="37"/>
  <c r="N62" i="37"/>
  <c r="N63" i="37"/>
  <c r="N64" i="37"/>
  <c r="N65" i="37"/>
  <c r="N66" i="37"/>
  <c r="N67" i="37"/>
  <c r="N68" i="37"/>
  <c r="N69" i="37"/>
  <c r="N70" i="37"/>
  <c r="N71" i="37"/>
  <c r="N72" i="37"/>
  <c r="N73" i="37"/>
  <c r="N74" i="37"/>
  <c r="N75" i="37"/>
  <c r="N76" i="37"/>
  <c r="N77" i="37"/>
  <c r="N78" i="37"/>
  <c r="N79" i="37"/>
  <c r="N80" i="37"/>
  <c r="N81" i="37"/>
  <c r="N82" i="37"/>
  <c r="N83" i="37"/>
  <c r="N84" i="37"/>
  <c r="N85" i="37"/>
  <c r="N86" i="37"/>
  <c r="N87" i="37"/>
  <c r="N88" i="37"/>
  <c r="N89" i="37"/>
  <c r="N90" i="37"/>
  <c r="N91" i="37"/>
  <c r="N92" i="37"/>
  <c r="N93" i="37"/>
  <c r="N94" i="37"/>
  <c r="N95" i="37"/>
  <c r="N96" i="37"/>
  <c r="N97" i="37"/>
  <c r="N98" i="37"/>
  <c r="N99" i="37"/>
  <c r="N100" i="37"/>
  <c r="N101" i="37"/>
  <c r="N102" i="37"/>
  <c r="N103" i="37"/>
  <c r="N104" i="37"/>
  <c r="N105" i="37"/>
  <c r="N106" i="37"/>
  <c r="N107" i="37"/>
  <c r="N108" i="37"/>
  <c r="N109" i="37"/>
  <c r="N110" i="37"/>
  <c r="N111" i="37"/>
  <c r="N112" i="37"/>
  <c r="N113" i="37"/>
  <c r="N114" i="37"/>
  <c r="N115" i="37"/>
  <c r="N116" i="37"/>
  <c r="N117" i="37"/>
  <c r="N118" i="37"/>
  <c r="N119" i="37"/>
  <c r="N120" i="37"/>
  <c r="N121" i="37"/>
  <c r="N122" i="37"/>
  <c r="N123" i="37"/>
  <c r="N125" i="37"/>
  <c r="N126" i="37"/>
  <c r="N127" i="37"/>
  <c r="N128" i="37"/>
  <c r="N129" i="37"/>
  <c r="N130" i="37"/>
  <c r="N131" i="37"/>
  <c r="N132" i="37"/>
  <c r="N133" i="37"/>
  <c r="N134" i="37"/>
  <c r="N135" i="37"/>
  <c r="N136"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N5" authorId="0" shapeId="0" xr:uid="{8D54591A-4E94-42EE-8EA0-9C4BEC996734}">
      <text>
        <r>
          <rPr>
            <b/>
            <sz val="9"/>
            <color indexed="81"/>
            <rFont val="宋体"/>
            <family val="3"/>
            <charset val="134"/>
          </rPr>
          <t>多表预览功能是针对编制并审核完成的工作表，选着【是】后，执行多表预览打印操作</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O21" authorId="0" shapeId="0" xr:uid="{4B6D28B0-F126-40ED-BEFB-BA94EB6E1D98}">
      <text>
        <r>
          <rPr>
            <b/>
            <sz val="9"/>
            <color indexed="81"/>
            <rFont val="宋体"/>
            <family val="3"/>
            <charset val="134"/>
          </rPr>
          <t>作者:</t>
        </r>
        <r>
          <rPr>
            <sz val="9"/>
            <color indexed="81"/>
            <rFont val="宋体"/>
            <family val="3"/>
            <charset val="134"/>
          </rPr>
          <t xml:space="preserve">
考虑是否适用？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M7" authorId="0" shapeId="0" xr:uid="{758B10F5-7975-471E-AE35-DA3A2592E095}">
      <text>
        <r>
          <rPr>
            <b/>
            <sz val="9"/>
            <color indexed="81"/>
            <rFont val="宋体"/>
            <family val="3"/>
            <charset val="134"/>
          </rPr>
          <t>作者:
如收付款方是否一致、金额是否一致等，如不一致视为不一致需解释原因</t>
        </r>
      </text>
    </comment>
    <comment ref="M43" authorId="0" shapeId="0" xr:uid="{8C9D0FDA-9C61-414E-AFE5-B9DC5EB2BCE4}">
      <text>
        <r>
          <rPr>
            <b/>
            <sz val="9"/>
            <color indexed="81"/>
            <rFont val="宋体"/>
            <family val="3"/>
            <charset val="134"/>
          </rPr>
          <t>作者:
如收付款方是否一致、金额是否一致等，如不一致视为不一致需解释原因</t>
        </r>
      </text>
    </comment>
    <comment ref="M50" authorId="0" shapeId="0" xr:uid="{411DABAA-E649-45CE-B272-B8E4131A4D2A}">
      <text>
        <r>
          <rPr>
            <b/>
            <sz val="9"/>
            <color indexed="81"/>
            <rFont val="宋体"/>
            <family val="3"/>
            <charset val="134"/>
          </rPr>
          <t>作者:
如收付款方是否一致、金额是否一致等，如不一致视为不一致需解释原因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B8" authorId="0" shapeId="0" xr:uid="{00000000-0006-0000-0500-000001000000}">
      <text>
        <r>
          <rPr>
            <b/>
            <sz val="9"/>
            <color indexed="81"/>
            <rFont val="宋体"/>
            <family val="3"/>
            <charset val="134"/>
          </rPr>
          <t xml:space="preserve">可自定义的科目：
</t>
        </r>
        <r>
          <rPr>
            <sz val="9"/>
            <color indexed="81"/>
            <rFont val="宋体"/>
            <family val="3"/>
            <charset val="134"/>
          </rPr>
          <t>存放中央银行款项</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存放同业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存出保证金      </t>
        </r>
        <r>
          <rPr>
            <sz val="9"/>
            <color indexed="81"/>
            <rFont val="Tahoma"/>
            <family val="2"/>
          </rPr>
          <t>(</t>
        </r>
        <r>
          <rPr>
            <sz val="9"/>
            <color indexed="81"/>
            <rFont val="宋体"/>
            <family val="3"/>
            <charset val="134"/>
          </rPr>
          <t>金融共用</t>
        </r>
        <r>
          <rPr>
            <sz val="9"/>
            <color indexed="81"/>
            <rFont val="Tahoma"/>
            <family val="2"/>
          </rPr>
          <t xml:space="preserve">)
</t>
        </r>
        <r>
          <rPr>
            <sz val="9"/>
            <color indexed="81"/>
            <rFont val="宋体"/>
            <family val="3"/>
            <charset val="134"/>
          </rPr>
          <t xml:space="preserve">其他自定义科目  </t>
        </r>
        <r>
          <rPr>
            <sz val="9"/>
            <color indexed="81"/>
            <rFont val="Tahoma"/>
            <family val="2"/>
          </rPr>
          <t>(</t>
        </r>
        <r>
          <rPr>
            <sz val="9"/>
            <color indexed="81"/>
            <rFont val="宋体"/>
            <family val="3"/>
            <charset val="134"/>
          </rPr>
          <t>一般企业</t>
        </r>
        <r>
          <rPr>
            <sz val="9"/>
            <color indexed="81"/>
            <rFont val="Tahoma"/>
            <family val="2"/>
          </rPr>
          <t>)</t>
        </r>
      </text>
    </comment>
    <comment ref="B9" authorId="0" shapeId="0" xr:uid="{00000000-0006-0000-0500-000002000000}">
      <text>
        <r>
          <rPr>
            <b/>
            <sz val="9"/>
            <color indexed="81"/>
            <rFont val="宋体"/>
            <family val="3"/>
            <charset val="134"/>
          </rPr>
          <t xml:space="preserve">可自定义的科目：
</t>
        </r>
        <r>
          <rPr>
            <sz val="9"/>
            <color indexed="81"/>
            <rFont val="宋体"/>
            <family val="3"/>
            <charset val="134"/>
          </rPr>
          <t>存放中央银行款项</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存放同业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存出保证金      </t>
        </r>
        <r>
          <rPr>
            <sz val="9"/>
            <color indexed="81"/>
            <rFont val="Tahoma"/>
            <family val="2"/>
          </rPr>
          <t>(</t>
        </r>
        <r>
          <rPr>
            <sz val="9"/>
            <color indexed="81"/>
            <rFont val="宋体"/>
            <family val="3"/>
            <charset val="134"/>
          </rPr>
          <t>金融共用</t>
        </r>
        <r>
          <rPr>
            <sz val="9"/>
            <color indexed="81"/>
            <rFont val="Tahoma"/>
            <family val="2"/>
          </rPr>
          <t xml:space="preserve">)
</t>
        </r>
        <r>
          <rPr>
            <sz val="9"/>
            <color indexed="81"/>
            <rFont val="宋体"/>
            <family val="3"/>
            <charset val="134"/>
          </rPr>
          <t xml:space="preserve">其他自定义科目  </t>
        </r>
        <r>
          <rPr>
            <sz val="9"/>
            <color indexed="81"/>
            <rFont val="Tahoma"/>
            <family val="2"/>
          </rPr>
          <t>(</t>
        </r>
        <r>
          <rPr>
            <sz val="9"/>
            <color indexed="81"/>
            <rFont val="宋体"/>
            <family val="3"/>
            <charset val="134"/>
          </rPr>
          <t>一般企业</t>
        </r>
        <r>
          <rPr>
            <sz val="9"/>
            <color indexed="81"/>
            <rFont val="Tahoma"/>
            <family val="2"/>
          </rPr>
          <t>)</t>
        </r>
      </text>
    </comment>
    <comment ref="B10" authorId="0" shapeId="0" xr:uid="{00000000-0006-0000-0500-000003000000}">
      <text>
        <r>
          <rPr>
            <b/>
            <sz val="9"/>
            <color indexed="81"/>
            <rFont val="宋体"/>
            <family val="3"/>
            <charset val="134"/>
          </rPr>
          <t xml:space="preserve">可自定义的科目：
</t>
        </r>
        <r>
          <rPr>
            <sz val="9"/>
            <color indexed="81"/>
            <rFont val="宋体"/>
            <family val="3"/>
            <charset val="134"/>
          </rPr>
          <t>存放中央银行款项</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存放同业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存出保证金      </t>
        </r>
        <r>
          <rPr>
            <sz val="9"/>
            <color indexed="81"/>
            <rFont val="Tahoma"/>
            <family val="2"/>
          </rPr>
          <t>(</t>
        </r>
        <r>
          <rPr>
            <sz val="9"/>
            <color indexed="81"/>
            <rFont val="宋体"/>
            <family val="3"/>
            <charset val="134"/>
          </rPr>
          <t>金融共用</t>
        </r>
        <r>
          <rPr>
            <sz val="9"/>
            <color indexed="81"/>
            <rFont val="Tahoma"/>
            <family val="2"/>
          </rPr>
          <t xml:space="preserve">)
</t>
        </r>
        <r>
          <rPr>
            <sz val="9"/>
            <color indexed="81"/>
            <rFont val="宋体"/>
            <family val="3"/>
            <charset val="134"/>
          </rPr>
          <t xml:space="preserve">其他自定义科目  </t>
        </r>
        <r>
          <rPr>
            <sz val="9"/>
            <color indexed="81"/>
            <rFont val="Tahoma"/>
            <family val="2"/>
          </rPr>
          <t>(</t>
        </r>
        <r>
          <rPr>
            <sz val="9"/>
            <color indexed="81"/>
            <rFont val="宋体"/>
            <family val="3"/>
            <charset val="134"/>
          </rPr>
          <t>一般企业</t>
        </r>
        <r>
          <rPr>
            <sz val="9"/>
            <color indexed="81"/>
            <rFont val="Tahoma"/>
            <family val="2"/>
          </rPr>
          <t>)</t>
        </r>
      </text>
    </comment>
    <comment ref="B34" authorId="0" shapeId="0" xr:uid="{00000000-0006-0000-0500-000004000000}">
      <text>
        <r>
          <rPr>
            <b/>
            <sz val="9"/>
            <color indexed="81"/>
            <rFont val="宋体"/>
            <family val="3"/>
            <charset val="134"/>
          </rPr>
          <t xml:space="preserve">可自定义的科目：
</t>
        </r>
        <r>
          <rPr>
            <sz val="9"/>
            <color indexed="81"/>
            <rFont val="宋体"/>
            <family val="3"/>
            <charset val="134"/>
          </rPr>
          <t>应收代位追偿款</t>
        </r>
        <r>
          <rPr>
            <sz val="9"/>
            <color indexed="81"/>
            <rFont val="Tahoma"/>
            <family val="2"/>
          </rPr>
          <t>(</t>
        </r>
        <r>
          <rPr>
            <sz val="9"/>
            <color indexed="81"/>
            <rFont val="宋体"/>
            <family val="3"/>
            <charset val="134"/>
          </rPr>
          <t>保险专用</t>
        </r>
        <r>
          <rPr>
            <sz val="9"/>
            <color indexed="81"/>
            <rFont val="Tahoma"/>
            <family val="2"/>
          </rPr>
          <t xml:space="preserve">)
</t>
        </r>
        <r>
          <rPr>
            <sz val="9"/>
            <color indexed="81"/>
            <rFont val="宋体"/>
            <family val="3"/>
            <charset val="134"/>
          </rPr>
          <t xml:space="preserve">贴现资产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代理兑付证券  </t>
        </r>
        <r>
          <rPr>
            <sz val="9"/>
            <color indexed="81"/>
            <rFont val="Tahoma"/>
            <family val="2"/>
          </rPr>
          <t>(</t>
        </r>
        <r>
          <rPr>
            <sz val="9"/>
            <color indexed="81"/>
            <rFont val="宋体"/>
            <family val="3"/>
            <charset val="134"/>
          </rPr>
          <t>银行证券</t>
        </r>
        <r>
          <rPr>
            <sz val="9"/>
            <color indexed="81"/>
            <rFont val="Tahoma"/>
            <family val="2"/>
          </rPr>
          <t xml:space="preserve">)
</t>
        </r>
        <r>
          <rPr>
            <sz val="9"/>
            <color indexed="81"/>
            <rFont val="宋体"/>
            <family val="3"/>
            <charset val="134"/>
          </rPr>
          <t xml:space="preserve">代理业务资产  </t>
        </r>
        <r>
          <rPr>
            <sz val="9"/>
            <color indexed="81"/>
            <rFont val="Tahoma"/>
            <family val="2"/>
          </rPr>
          <t>(</t>
        </r>
        <r>
          <rPr>
            <sz val="9"/>
            <color indexed="81"/>
            <rFont val="宋体"/>
            <family val="3"/>
            <charset val="134"/>
          </rPr>
          <t>一般企业</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35" authorId="0" shapeId="0" xr:uid="{00000000-0006-0000-0500-000005000000}">
      <text>
        <r>
          <rPr>
            <b/>
            <sz val="9"/>
            <color indexed="81"/>
            <rFont val="宋体"/>
            <family val="3"/>
            <charset val="134"/>
          </rPr>
          <t xml:space="preserve">可自定义的科目：
</t>
        </r>
        <r>
          <rPr>
            <sz val="9"/>
            <color indexed="81"/>
            <rFont val="宋体"/>
            <family val="3"/>
            <charset val="134"/>
          </rPr>
          <t>应收代位追偿款</t>
        </r>
        <r>
          <rPr>
            <sz val="9"/>
            <color indexed="81"/>
            <rFont val="Tahoma"/>
            <family val="2"/>
          </rPr>
          <t>(</t>
        </r>
        <r>
          <rPr>
            <sz val="9"/>
            <color indexed="81"/>
            <rFont val="宋体"/>
            <family val="3"/>
            <charset val="134"/>
          </rPr>
          <t>保险专用</t>
        </r>
        <r>
          <rPr>
            <sz val="9"/>
            <color indexed="81"/>
            <rFont val="Tahoma"/>
            <family val="2"/>
          </rPr>
          <t xml:space="preserve">)
</t>
        </r>
        <r>
          <rPr>
            <sz val="9"/>
            <color indexed="81"/>
            <rFont val="宋体"/>
            <family val="3"/>
            <charset val="134"/>
          </rPr>
          <t xml:space="preserve">贴现资产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代理兑付证券  </t>
        </r>
        <r>
          <rPr>
            <sz val="9"/>
            <color indexed="81"/>
            <rFont val="Tahoma"/>
            <family val="2"/>
          </rPr>
          <t>(</t>
        </r>
        <r>
          <rPr>
            <sz val="9"/>
            <color indexed="81"/>
            <rFont val="宋体"/>
            <family val="3"/>
            <charset val="134"/>
          </rPr>
          <t>银行证券</t>
        </r>
        <r>
          <rPr>
            <sz val="9"/>
            <color indexed="81"/>
            <rFont val="Tahoma"/>
            <family val="2"/>
          </rPr>
          <t xml:space="preserve">)
</t>
        </r>
        <r>
          <rPr>
            <sz val="9"/>
            <color indexed="81"/>
            <rFont val="宋体"/>
            <family val="3"/>
            <charset val="134"/>
          </rPr>
          <t xml:space="preserve">代理业务资产  </t>
        </r>
        <r>
          <rPr>
            <sz val="9"/>
            <color indexed="81"/>
            <rFont val="Tahoma"/>
            <family val="2"/>
          </rPr>
          <t>(</t>
        </r>
        <r>
          <rPr>
            <sz val="9"/>
            <color indexed="81"/>
            <rFont val="宋体"/>
            <family val="3"/>
            <charset val="134"/>
          </rPr>
          <t>一般企业</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36" authorId="0" shapeId="0" xr:uid="{00000000-0006-0000-0500-000006000000}">
      <text>
        <r>
          <rPr>
            <b/>
            <sz val="9"/>
            <color indexed="81"/>
            <rFont val="宋体"/>
            <family val="3"/>
            <charset val="134"/>
          </rPr>
          <t xml:space="preserve">可自定义的科目：
</t>
        </r>
        <r>
          <rPr>
            <sz val="9"/>
            <color indexed="81"/>
            <rFont val="宋体"/>
            <family val="3"/>
            <charset val="134"/>
          </rPr>
          <t>应收代位追偿款</t>
        </r>
        <r>
          <rPr>
            <sz val="9"/>
            <color indexed="81"/>
            <rFont val="Tahoma"/>
            <family val="2"/>
          </rPr>
          <t>(</t>
        </r>
        <r>
          <rPr>
            <sz val="9"/>
            <color indexed="81"/>
            <rFont val="宋体"/>
            <family val="3"/>
            <charset val="134"/>
          </rPr>
          <t>保险专用</t>
        </r>
        <r>
          <rPr>
            <sz val="9"/>
            <color indexed="81"/>
            <rFont val="Tahoma"/>
            <family val="2"/>
          </rPr>
          <t xml:space="preserve">)
</t>
        </r>
        <r>
          <rPr>
            <sz val="9"/>
            <color indexed="81"/>
            <rFont val="宋体"/>
            <family val="3"/>
            <charset val="134"/>
          </rPr>
          <t xml:space="preserve">贴现资产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代理兑付证券  </t>
        </r>
        <r>
          <rPr>
            <sz val="9"/>
            <color indexed="81"/>
            <rFont val="Tahoma"/>
            <family val="2"/>
          </rPr>
          <t>(</t>
        </r>
        <r>
          <rPr>
            <sz val="9"/>
            <color indexed="81"/>
            <rFont val="宋体"/>
            <family val="3"/>
            <charset val="134"/>
          </rPr>
          <t>银行证券</t>
        </r>
        <r>
          <rPr>
            <sz val="9"/>
            <color indexed="81"/>
            <rFont val="Tahoma"/>
            <family val="2"/>
          </rPr>
          <t xml:space="preserve">)
</t>
        </r>
        <r>
          <rPr>
            <sz val="9"/>
            <color indexed="81"/>
            <rFont val="宋体"/>
            <family val="3"/>
            <charset val="134"/>
          </rPr>
          <t xml:space="preserve">代理业务资产  </t>
        </r>
        <r>
          <rPr>
            <sz val="9"/>
            <color indexed="81"/>
            <rFont val="Tahoma"/>
            <family val="2"/>
          </rPr>
          <t>(</t>
        </r>
        <r>
          <rPr>
            <sz val="9"/>
            <color indexed="81"/>
            <rFont val="宋体"/>
            <family val="3"/>
            <charset val="134"/>
          </rPr>
          <t>一般企业</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37" authorId="0" shapeId="0" xr:uid="{00000000-0006-0000-0500-000007000000}">
      <text>
        <r>
          <rPr>
            <b/>
            <sz val="9"/>
            <color indexed="81"/>
            <rFont val="宋体"/>
            <family val="3"/>
            <charset val="134"/>
          </rPr>
          <t xml:space="preserve">可自定义的科目：
</t>
        </r>
        <r>
          <rPr>
            <sz val="9"/>
            <color indexed="81"/>
            <rFont val="宋体"/>
            <family val="3"/>
            <charset val="134"/>
          </rPr>
          <t>应收代位追偿款</t>
        </r>
        <r>
          <rPr>
            <sz val="9"/>
            <color indexed="81"/>
            <rFont val="Tahoma"/>
            <family val="2"/>
          </rPr>
          <t>(</t>
        </r>
        <r>
          <rPr>
            <sz val="9"/>
            <color indexed="81"/>
            <rFont val="宋体"/>
            <family val="3"/>
            <charset val="134"/>
          </rPr>
          <t>保险专用</t>
        </r>
        <r>
          <rPr>
            <sz val="9"/>
            <color indexed="81"/>
            <rFont val="Tahoma"/>
            <family val="2"/>
          </rPr>
          <t xml:space="preserve">)
</t>
        </r>
        <r>
          <rPr>
            <sz val="9"/>
            <color indexed="81"/>
            <rFont val="宋体"/>
            <family val="3"/>
            <charset val="134"/>
          </rPr>
          <t xml:space="preserve">贴现资产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代理兑付证券  </t>
        </r>
        <r>
          <rPr>
            <sz val="9"/>
            <color indexed="81"/>
            <rFont val="Tahoma"/>
            <family val="2"/>
          </rPr>
          <t>(</t>
        </r>
        <r>
          <rPr>
            <sz val="9"/>
            <color indexed="81"/>
            <rFont val="宋体"/>
            <family val="3"/>
            <charset val="134"/>
          </rPr>
          <t>银行证券</t>
        </r>
        <r>
          <rPr>
            <sz val="9"/>
            <color indexed="81"/>
            <rFont val="Tahoma"/>
            <family val="2"/>
          </rPr>
          <t xml:space="preserve">)
</t>
        </r>
        <r>
          <rPr>
            <sz val="9"/>
            <color indexed="81"/>
            <rFont val="宋体"/>
            <family val="3"/>
            <charset val="134"/>
          </rPr>
          <t xml:space="preserve">代理业务资产  </t>
        </r>
        <r>
          <rPr>
            <sz val="9"/>
            <color indexed="81"/>
            <rFont val="Tahoma"/>
            <family val="2"/>
          </rPr>
          <t>(</t>
        </r>
        <r>
          <rPr>
            <sz val="9"/>
            <color indexed="81"/>
            <rFont val="宋体"/>
            <family val="3"/>
            <charset val="134"/>
          </rPr>
          <t>一般企业</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38" authorId="0" shapeId="0" xr:uid="{00000000-0006-0000-0500-000008000000}">
      <text>
        <r>
          <rPr>
            <b/>
            <sz val="9"/>
            <color indexed="81"/>
            <rFont val="宋体"/>
            <family val="3"/>
            <charset val="134"/>
          </rPr>
          <t xml:space="preserve">可自定义的科目：
</t>
        </r>
        <r>
          <rPr>
            <sz val="9"/>
            <color indexed="81"/>
            <rFont val="宋体"/>
            <family val="3"/>
            <charset val="134"/>
          </rPr>
          <t>应收代位追偿款</t>
        </r>
        <r>
          <rPr>
            <sz val="9"/>
            <color indexed="81"/>
            <rFont val="Tahoma"/>
            <family val="2"/>
          </rPr>
          <t>(</t>
        </r>
        <r>
          <rPr>
            <sz val="9"/>
            <color indexed="81"/>
            <rFont val="宋体"/>
            <family val="3"/>
            <charset val="134"/>
          </rPr>
          <t>保险专用</t>
        </r>
        <r>
          <rPr>
            <sz val="9"/>
            <color indexed="81"/>
            <rFont val="Tahoma"/>
            <family val="2"/>
          </rPr>
          <t xml:space="preserve">)
</t>
        </r>
        <r>
          <rPr>
            <sz val="9"/>
            <color indexed="81"/>
            <rFont val="宋体"/>
            <family val="3"/>
            <charset val="134"/>
          </rPr>
          <t xml:space="preserve">贴现资产      </t>
        </r>
        <r>
          <rPr>
            <sz val="9"/>
            <color indexed="81"/>
            <rFont val="Tahoma"/>
            <family val="2"/>
          </rPr>
          <t>(</t>
        </r>
        <r>
          <rPr>
            <sz val="9"/>
            <color indexed="81"/>
            <rFont val="宋体"/>
            <family val="3"/>
            <charset val="134"/>
          </rPr>
          <t>银行专用</t>
        </r>
        <r>
          <rPr>
            <sz val="9"/>
            <color indexed="81"/>
            <rFont val="Tahoma"/>
            <family val="2"/>
          </rPr>
          <t xml:space="preserve">)
</t>
        </r>
        <r>
          <rPr>
            <sz val="9"/>
            <color indexed="81"/>
            <rFont val="宋体"/>
            <family val="3"/>
            <charset val="134"/>
          </rPr>
          <t xml:space="preserve">代理兑付证券  </t>
        </r>
        <r>
          <rPr>
            <sz val="9"/>
            <color indexed="81"/>
            <rFont val="Tahoma"/>
            <family val="2"/>
          </rPr>
          <t>(</t>
        </r>
        <r>
          <rPr>
            <sz val="9"/>
            <color indexed="81"/>
            <rFont val="宋体"/>
            <family val="3"/>
            <charset val="134"/>
          </rPr>
          <t>银行证券</t>
        </r>
        <r>
          <rPr>
            <sz val="9"/>
            <color indexed="81"/>
            <rFont val="Tahoma"/>
            <family val="2"/>
          </rPr>
          <t xml:space="preserve">)
</t>
        </r>
        <r>
          <rPr>
            <sz val="9"/>
            <color indexed="81"/>
            <rFont val="宋体"/>
            <family val="3"/>
            <charset val="134"/>
          </rPr>
          <t xml:space="preserve">代理业务资产  </t>
        </r>
        <r>
          <rPr>
            <sz val="9"/>
            <color indexed="81"/>
            <rFont val="Tahoma"/>
            <family val="2"/>
          </rPr>
          <t>(</t>
        </r>
        <r>
          <rPr>
            <sz val="9"/>
            <color indexed="81"/>
            <rFont val="宋体"/>
            <family val="3"/>
            <charset val="134"/>
          </rPr>
          <t>一般企业</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75" authorId="0" shapeId="0" xr:uid="{00000000-0006-0000-0500-000009000000}">
      <text>
        <r>
          <rPr>
            <b/>
            <sz val="9"/>
            <color indexed="81"/>
            <rFont val="宋体"/>
            <family val="3"/>
            <charset val="134"/>
          </rPr>
          <t>可自定义的科目：</t>
        </r>
        <r>
          <rPr>
            <sz val="9"/>
            <color indexed="81"/>
            <rFont val="宋体"/>
            <family val="3"/>
            <charset val="134"/>
          </rPr>
          <t xml:space="preserve">
未担保余值    (租赁专用)
公益性生物资产(农业专用)
存出资本保证金(保险专用)
独立账户资产  (保险专用)
待处理财产损益(一般企业)
其他自定义科目(一般企业)</t>
        </r>
      </text>
    </comment>
    <comment ref="B76" authorId="0" shapeId="0" xr:uid="{00000000-0006-0000-0500-00000A000000}">
      <text>
        <r>
          <rPr>
            <b/>
            <sz val="9"/>
            <color indexed="81"/>
            <rFont val="宋体"/>
            <family val="3"/>
            <charset val="134"/>
          </rPr>
          <t>可自定义的科目：</t>
        </r>
        <r>
          <rPr>
            <sz val="9"/>
            <color indexed="81"/>
            <rFont val="宋体"/>
            <family val="3"/>
            <charset val="134"/>
          </rPr>
          <t xml:space="preserve">
未担保余值    (租赁专用)
公益性生物资产(农业专用)
存出资本保证金(保险专用)
独立账户资产  (保险专用)
待处理财产损益(一般企业)
其他自定义科目(一般企业)</t>
        </r>
      </text>
    </comment>
    <comment ref="B77" authorId="0" shapeId="0" xr:uid="{00000000-0006-0000-0500-00000B000000}">
      <text>
        <r>
          <rPr>
            <b/>
            <sz val="9"/>
            <color indexed="81"/>
            <rFont val="宋体"/>
            <family val="3"/>
            <charset val="134"/>
          </rPr>
          <t>可自定义的科目：</t>
        </r>
        <r>
          <rPr>
            <sz val="9"/>
            <color indexed="81"/>
            <rFont val="宋体"/>
            <family val="3"/>
            <charset val="134"/>
          </rPr>
          <t xml:space="preserve">
未担保余值    (租赁专用)
公益性生物资产(农业专用)
存出资本保证金(保险专用)
独立账户资产  (保险专用)
待处理财产损益(一般企业)
其他自定义科目(一般企业)</t>
        </r>
      </text>
    </comment>
    <comment ref="B78" authorId="0" shapeId="0" xr:uid="{00000000-0006-0000-0500-00000C000000}">
      <text>
        <r>
          <rPr>
            <b/>
            <sz val="9"/>
            <color indexed="81"/>
            <rFont val="宋体"/>
            <family val="3"/>
            <charset val="134"/>
          </rPr>
          <t>可自定义的科目：</t>
        </r>
        <r>
          <rPr>
            <sz val="9"/>
            <color indexed="81"/>
            <rFont val="宋体"/>
            <family val="3"/>
            <charset val="134"/>
          </rPr>
          <t xml:space="preserve">
未担保余值    (租赁专用)
公益性生物资产(农业专用)
存出资本保证金(保险专用)
独立账户资产  (保险专用)
待处理财产损益(一般企业)
其他自定义科目(一般企业)</t>
        </r>
      </text>
    </comment>
    <comment ref="B79" authorId="0" shapeId="0" xr:uid="{00000000-0006-0000-0500-00000D000000}">
      <text>
        <r>
          <rPr>
            <b/>
            <sz val="9"/>
            <color indexed="81"/>
            <rFont val="宋体"/>
            <family val="3"/>
            <charset val="134"/>
          </rPr>
          <t>可自定义的科目：</t>
        </r>
        <r>
          <rPr>
            <sz val="9"/>
            <color indexed="81"/>
            <rFont val="宋体"/>
            <family val="3"/>
            <charset val="134"/>
          </rPr>
          <t xml:space="preserve">
未担保余值    (租赁专用)
公益性生物资产(农业专用)
存出资本保证金(保险专用)
独立账户资产  (保险专用)
待处理财产损益(一般企业)
其他自定义科目(一般企业)</t>
        </r>
      </text>
    </comment>
    <comment ref="B103" authorId="0" shapeId="0" xr:uid="{00000000-0006-0000-0500-00000E000000}">
      <text>
        <r>
          <rPr>
            <b/>
            <sz val="9"/>
            <color indexed="81"/>
            <rFont val="宋体"/>
            <family val="3"/>
            <charset val="134"/>
          </rPr>
          <t>可自定义的科目：</t>
        </r>
        <r>
          <rPr>
            <sz val="9"/>
            <color indexed="81"/>
            <rFont val="宋体"/>
            <family val="3"/>
            <charset val="134"/>
          </rPr>
          <t xml:space="preserve">
预提费用        (一般企业)
递延收益        (一般企业)
存入保证金      (金融共用)
贴现负债        (银行专用)
代理兑付证券款  (银行证券)
代理业务负债    (一般企业)
应付保单红利    (保险专用)
未到期责任准备金(保险专用)
其他自定义科目  (一般企业)</t>
        </r>
      </text>
    </comment>
    <comment ref="B104" authorId="0" shapeId="0" xr:uid="{00000000-0006-0000-0500-00000F000000}">
      <text>
        <r>
          <rPr>
            <b/>
            <sz val="9"/>
            <color indexed="81"/>
            <rFont val="宋体"/>
            <family val="3"/>
            <charset val="134"/>
          </rPr>
          <t>可自定义的科目：</t>
        </r>
        <r>
          <rPr>
            <sz val="9"/>
            <color indexed="81"/>
            <rFont val="宋体"/>
            <family val="3"/>
            <charset val="134"/>
          </rPr>
          <t xml:space="preserve">
预提费用        (一般企业)
递延收益        (一般企业)
存入保证金      (金融共用)
贴现负债        (银行专用)
代理兑付证券款  (银行证券)
代理业务负债    (一般企业)
应付保单红利    (保险专用)
未到期责任准备金(保险专用)
其他自定义科目  (一般企业)</t>
        </r>
      </text>
    </comment>
    <comment ref="B105" authorId="0" shapeId="0" xr:uid="{00000000-0006-0000-0500-000010000000}">
      <text>
        <r>
          <rPr>
            <b/>
            <sz val="9"/>
            <color indexed="81"/>
            <rFont val="宋体"/>
            <family val="3"/>
            <charset val="134"/>
          </rPr>
          <t>可自定义的科目：</t>
        </r>
        <r>
          <rPr>
            <sz val="9"/>
            <color indexed="81"/>
            <rFont val="宋体"/>
            <family val="3"/>
            <charset val="134"/>
          </rPr>
          <t xml:space="preserve">
预提费用        (一般企业)
递延收益        (一般企业)
存入保证金      (金融共用)
贴现负债        (银行专用)
代理兑付证券款  (银行证券)
代理业务负债    (一般企业)
应付保单红利    (保险专用)
未到期责任准备金(保险专用)
其他自定义科目  (一般企业)</t>
        </r>
      </text>
    </comment>
    <comment ref="B106" authorId="0" shapeId="0" xr:uid="{00000000-0006-0000-0500-000011000000}">
      <text>
        <r>
          <rPr>
            <b/>
            <sz val="9"/>
            <color indexed="81"/>
            <rFont val="宋体"/>
            <family val="3"/>
            <charset val="134"/>
          </rPr>
          <t>可自定义的科目：</t>
        </r>
        <r>
          <rPr>
            <sz val="9"/>
            <color indexed="81"/>
            <rFont val="宋体"/>
            <family val="3"/>
            <charset val="134"/>
          </rPr>
          <t xml:space="preserve">
预提费用        (一般企业)
递延收益        (一般企业)
存入保证金      (金融共用)
贴现负债        (银行专用)
代理兑付证券款  (银行证券)
代理业务负债    (一般企业)
应付保单红利    (保险专用)
未到期责任准备金(保险专用)
其他自定义科目  (一般企业)</t>
        </r>
      </text>
    </comment>
    <comment ref="B107" authorId="0" shapeId="0" xr:uid="{00000000-0006-0000-0500-000012000000}">
      <text>
        <r>
          <rPr>
            <b/>
            <sz val="9"/>
            <color indexed="81"/>
            <rFont val="宋体"/>
            <family val="3"/>
            <charset val="134"/>
          </rPr>
          <t>可自定义的科目：</t>
        </r>
        <r>
          <rPr>
            <sz val="9"/>
            <color indexed="81"/>
            <rFont val="宋体"/>
            <family val="3"/>
            <charset val="134"/>
          </rPr>
          <t xml:space="preserve">
预提费用        (一般企业)
递延收益        (一般企业)
存入保证金      (金融共用)
贴现负债        (银行专用)
代理兑付证券款  (银行证券)
代理业务负债    (一般企业)
应付保单红利    (保险专用)
未到期责任准备金(保险专用)
其他自定义科目  (一般企业)</t>
        </r>
      </text>
    </comment>
    <comment ref="B116" authorId="0" shapeId="0" xr:uid="{00000000-0006-0000-0500-000013000000}">
      <text>
        <r>
          <rPr>
            <b/>
            <sz val="9"/>
            <color indexed="81"/>
            <rFont val="宋体"/>
            <family val="3"/>
            <charset val="134"/>
          </rPr>
          <t>可自定义的科目：</t>
        </r>
        <r>
          <rPr>
            <sz val="9"/>
            <color indexed="81"/>
            <rFont val="宋体"/>
            <family val="3"/>
            <charset val="134"/>
          </rPr>
          <t xml:space="preserve">
保户储金        (保险专用)
独立账户负债    (保险专用)
其他自定义科目  (一般企业)</t>
        </r>
      </text>
    </comment>
    <comment ref="B117" authorId="0" shapeId="0" xr:uid="{00000000-0006-0000-0500-000014000000}">
      <text>
        <r>
          <rPr>
            <b/>
            <sz val="9"/>
            <color indexed="81"/>
            <rFont val="宋体"/>
            <family val="3"/>
            <charset val="134"/>
          </rPr>
          <t>可自定义的科目：</t>
        </r>
        <r>
          <rPr>
            <sz val="9"/>
            <color indexed="81"/>
            <rFont val="宋体"/>
            <family val="3"/>
            <charset val="134"/>
          </rPr>
          <t xml:space="preserve">
保户储金        (保险专用)
独立账户负债    (保险专用)
其他自定义科目  (一般企业)</t>
        </r>
      </text>
    </comment>
    <comment ref="B118" authorId="0" shapeId="0" xr:uid="{00000000-0006-0000-0500-000015000000}">
      <text>
        <r>
          <rPr>
            <b/>
            <sz val="9"/>
            <color indexed="81"/>
            <rFont val="宋体"/>
            <family val="3"/>
            <charset val="134"/>
          </rPr>
          <t>可自定义的科目：</t>
        </r>
        <r>
          <rPr>
            <sz val="9"/>
            <color indexed="81"/>
            <rFont val="宋体"/>
            <family val="3"/>
            <charset val="134"/>
          </rPr>
          <t xml:space="preserve">
保户储金        (保险专用)
独立账户负债    (保险专用)
其他自定义科目  (一般企业)</t>
        </r>
      </text>
    </comment>
    <comment ref="B134" authorId="0" shapeId="0" xr:uid="{00000000-0006-0000-0500-000016000000}">
      <text>
        <r>
          <rPr>
            <b/>
            <sz val="9"/>
            <color indexed="81"/>
            <rFont val="宋体"/>
            <family val="3"/>
            <charset val="134"/>
          </rPr>
          <t xml:space="preserve">可自定义的科目：
</t>
        </r>
        <r>
          <rPr>
            <sz val="9"/>
            <color indexed="81"/>
            <rFont val="宋体"/>
            <family val="3"/>
            <charset val="134"/>
          </rPr>
          <t>租赁收入</t>
        </r>
        <r>
          <rPr>
            <sz val="9"/>
            <color indexed="81"/>
            <rFont val="Tahoma"/>
            <family val="2"/>
          </rPr>
          <t xml:space="preserve">         (</t>
        </r>
        <r>
          <rPr>
            <sz val="9"/>
            <color indexed="81"/>
            <rFont val="宋体"/>
            <family val="3"/>
            <charset val="134"/>
          </rPr>
          <t>租赁专用</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135" authorId="0" shapeId="0" xr:uid="{00000000-0006-0000-0500-000017000000}">
      <text>
        <r>
          <rPr>
            <b/>
            <sz val="9"/>
            <color indexed="81"/>
            <rFont val="宋体"/>
            <family val="3"/>
            <charset val="134"/>
          </rPr>
          <t xml:space="preserve">可自定义的科目：
</t>
        </r>
        <r>
          <rPr>
            <sz val="9"/>
            <color indexed="81"/>
            <rFont val="宋体"/>
            <family val="3"/>
            <charset val="134"/>
          </rPr>
          <t>租赁收入</t>
        </r>
        <r>
          <rPr>
            <sz val="9"/>
            <color indexed="81"/>
            <rFont val="Tahoma"/>
            <family val="2"/>
          </rPr>
          <t xml:space="preserve">         (</t>
        </r>
        <r>
          <rPr>
            <sz val="9"/>
            <color indexed="81"/>
            <rFont val="宋体"/>
            <family val="3"/>
            <charset val="134"/>
          </rPr>
          <t>租赁专用</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153" authorId="0" shapeId="0" xr:uid="{00000000-0006-0000-0500-000018000000}">
      <text>
        <r>
          <rPr>
            <b/>
            <sz val="9"/>
            <color indexed="81"/>
            <rFont val="宋体"/>
            <family val="3"/>
            <charset val="134"/>
          </rPr>
          <t>可自定义的科目：</t>
        </r>
        <r>
          <rPr>
            <sz val="9"/>
            <color indexed="81"/>
            <rFont val="Tahoma"/>
            <family val="2"/>
          </rPr>
          <t xml:space="preserve">
</t>
        </r>
        <r>
          <rPr>
            <sz val="9"/>
            <color indexed="81"/>
            <rFont val="宋体"/>
            <family val="3"/>
            <charset val="134"/>
          </rPr>
          <t>提取未到期责任准</t>
        </r>
        <r>
          <rPr>
            <sz val="9"/>
            <color indexed="81"/>
            <rFont val="宋体"/>
            <family val="3"/>
            <charset val="134"/>
          </rPr>
          <t>备金(保险专用)
分出保费            (保险专用)
其他自定义科目      (一般企业)</t>
        </r>
      </text>
    </comment>
    <comment ref="B154" authorId="0" shapeId="0" xr:uid="{00000000-0006-0000-0500-000019000000}">
      <text>
        <r>
          <rPr>
            <b/>
            <sz val="9"/>
            <color indexed="81"/>
            <rFont val="宋体"/>
            <family val="3"/>
            <charset val="134"/>
          </rPr>
          <t>可自定义的科目：</t>
        </r>
        <r>
          <rPr>
            <sz val="9"/>
            <color indexed="81"/>
            <rFont val="Tahoma"/>
            <family val="2"/>
          </rPr>
          <t xml:space="preserve">
</t>
        </r>
        <r>
          <rPr>
            <sz val="9"/>
            <color indexed="81"/>
            <rFont val="宋体"/>
            <family val="3"/>
            <charset val="134"/>
          </rPr>
          <t>提取未到期责任准</t>
        </r>
        <r>
          <rPr>
            <sz val="9"/>
            <color indexed="81"/>
            <rFont val="宋体"/>
            <family val="3"/>
            <charset val="134"/>
          </rPr>
          <t>备金(保险专用)
分出保费            (保险专用)
其他自定义科目      (一般企业)</t>
        </r>
      </text>
    </comment>
    <comment ref="B155" authorId="0" shapeId="0" xr:uid="{00000000-0006-0000-0500-00001A000000}">
      <text>
        <r>
          <rPr>
            <b/>
            <sz val="9"/>
            <color indexed="81"/>
            <rFont val="宋体"/>
            <family val="3"/>
            <charset val="134"/>
          </rPr>
          <t>可自定义的科目：</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162" authorId="0" shapeId="0" xr:uid="{00000000-0006-0000-0500-00001B000000}">
      <text>
        <r>
          <rPr>
            <b/>
            <sz val="9"/>
            <color indexed="81"/>
            <rFont val="宋体"/>
            <family val="3"/>
            <charset val="134"/>
          </rPr>
          <t>可自定义的科目：</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170" authorId="0" shapeId="0" xr:uid="{00000000-0006-0000-0500-00001C000000}">
      <text>
        <r>
          <rPr>
            <b/>
            <sz val="9"/>
            <color indexed="81"/>
            <rFont val="宋体"/>
            <family val="3"/>
            <charset val="134"/>
          </rPr>
          <t>可自定义的科目：</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 ref="B175" authorId="0" shapeId="0" xr:uid="{00000000-0006-0000-0500-00001D000000}">
      <text>
        <r>
          <rPr>
            <b/>
            <sz val="9"/>
            <color indexed="81"/>
            <rFont val="宋体"/>
            <family val="3"/>
            <charset val="134"/>
          </rPr>
          <t>可自定义的科目：</t>
        </r>
        <r>
          <rPr>
            <sz val="9"/>
            <color indexed="81"/>
            <rFont val="Tahoma"/>
            <family val="2"/>
          </rPr>
          <t xml:space="preserve">
</t>
        </r>
        <r>
          <rPr>
            <sz val="9"/>
            <color indexed="81"/>
            <rFont val="宋体"/>
            <family val="3"/>
            <charset val="134"/>
          </rPr>
          <t>其他自定义科目</t>
        </r>
        <r>
          <rPr>
            <sz val="9"/>
            <color indexed="81"/>
            <rFont val="Tahoma"/>
            <family val="2"/>
          </rPr>
          <t>(</t>
        </r>
        <r>
          <rPr>
            <sz val="9"/>
            <color indexed="81"/>
            <rFont val="宋体"/>
            <family val="3"/>
            <charset val="134"/>
          </rPr>
          <t>一般企业</t>
        </r>
        <r>
          <rPr>
            <sz val="9"/>
            <color indexed="81"/>
            <rFont val="Tahoma"/>
            <family val="2"/>
          </rPr>
          <t>)</t>
        </r>
      </text>
    </comment>
  </commentList>
</comments>
</file>

<file path=xl/sharedStrings.xml><?xml version="1.0" encoding="utf-8"?>
<sst xmlns="http://schemas.openxmlformats.org/spreadsheetml/2006/main" count="1159" uniqueCount="682">
  <si>
    <t>[END]</t>
    <phoneticPr fontId="1" type="noConversion"/>
  </si>
  <si>
    <t>WP-00</t>
    <phoneticPr fontId="1" type="noConversion"/>
  </si>
  <si>
    <t>index</t>
    <phoneticPr fontId="1" type="noConversion"/>
  </si>
  <si>
    <t>C</t>
  </si>
  <si>
    <t>银行存款</t>
    <phoneticPr fontId="63" type="noConversion"/>
  </si>
  <si>
    <t>其他货币资金</t>
    <phoneticPr fontId="63" type="noConversion"/>
  </si>
  <si>
    <t>科目名称</t>
    <phoneticPr fontId="63" type="noConversion"/>
  </si>
  <si>
    <t>审计调整</t>
    <phoneticPr fontId="63" type="noConversion"/>
  </si>
  <si>
    <t>少数股东权益</t>
    <phoneticPr fontId="63" type="noConversion"/>
  </si>
  <si>
    <t>少数股东损益</t>
    <phoneticPr fontId="63" type="noConversion"/>
  </si>
  <si>
    <t>科目代码</t>
    <phoneticPr fontId="63" type="noConversion"/>
  </si>
  <si>
    <t>库存现金</t>
    <phoneticPr fontId="63" type="noConversion"/>
  </si>
  <si>
    <t>应收票据</t>
    <phoneticPr fontId="63" type="noConversion"/>
  </si>
  <si>
    <t>应收票据坏账准备</t>
    <phoneticPr fontId="63" type="noConversion"/>
  </si>
  <si>
    <t>应收账款</t>
    <phoneticPr fontId="63" type="noConversion"/>
  </si>
  <si>
    <t>应收账款坏账准备</t>
    <phoneticPr fontId="63" type="noConversion"/>
  </si>
  <si>
    <t>预付账款</t>
    <phoneticPr fontId="63" type="noConversion"/>
  </si>
  <si>
    <t>预付账款坏账准备</t>
    <phoneticPr fontId="63" type="noConversion"/>
  </si>
  <si>
    <t>其他应收款</t>
    <phoneticPr fontId="63" type="noConversion"/>
  </si>
  <si>
    <t>其他应收款坏账准备</t>
    <phoneticPr fontId="63" type="noConversion"/>
  </si>
  <si>
    <t>应收股利</t>
    <phoneticPr fontId="63" type="noConversion"/>
  </si>
  <si>
    <t>应收利息</t>
    <phoneticPr fontId="63" type="noConversion"/>
  </si>
  <si>
    <t>存货</t>
    <phoneticPr fontId="63" type="noConversion"/>
  </si>
  <si>
    <t>存货跌价准备</t>
    <phoneticPr fontId="63" type="noConversion"/>
  </si>
  <si>
    <t>一年内到期的非流动资产</t>
    <phoneticPr fontId="63" type="noConversion"/>
  </si>
  <si>
    <t>其他流动资产</t>
    <phoneticPr fontId="63" type="noConversion"/>
  </si>
  <si>
    <t>可供出售金融资产</t>
    <phoneticPr fontId="63" type="noConversion"/>
  </si>
  <si>
    <t>可供出售金融资产减值准备</t>
    <phoneticPr fontId="63" type="noConversion"/>
  </si>
  <si>
    <t>持有至到期投资</t>
    <phoneticPr fontId="63" type="noConversion"/>
  </si>
  <si>
    <t>持有至到期投资减值准备</t>
    <phoneticPr fontId="63" type="noConversion"/>
  </si>
  <si>
    <t>长期应收款</t>
    <phoneticPr fontId="63" type="noConversion"/>
  </si>
  <si>
    <t>长期应收款坏账准备</t>
    <phoneticPr fontId="63" type="noConversion"/>
  </si>
  <si>
    <t>长期股权投资</t>
    <phoneticPr fontId="63" type="noConversion"/>
  </si>
  <si>
    <t>长期股权投资减值准备</t>
    <phoneticPr fontId="63" type="noConversion"/>
  </si>
  <si>
    <t>投资性房地产</t>
    <phoneticPr fontId="63" type="noConversion"/>
  </si>
  <si>
    <t>投资性房地产累计折旧</t>
    <phoneticPr fontId="63" type="noConversion"/>
  </si>
  <si>
    <t>投资性房地产减值准备</t>
    <phoneticPr fontId="63" type="noConversion"/>
  </si>
  <si>
    <t>固定资产</t>
    <phoneticPr fontId="63" type="noConversion"/>
  </si>
  <si>
    <t>固定资产累计折旧</t>
    <phoneticPr fontId="63" type="noConversion"/>
  </si>
  <si>
    <t>固定资产减值准备</t>
    <phoneticPr fontId="63" type="noConversion"/>
  </si>
  <si>
    <t>在建工程</t>
    <phoneticPr fontId="63" type="noConversion"/>
  </si>
  <si>
    <t>在建工程减值准备</t>
    <phoneticPr fontId="63" type="noConversion"/>
  </si>
  <si>
    <t>工程物资</t>
    <phoneticPr fontId="63" type="noConversion"/>
  </si>
  <si>
    <t>工程物资减值准备</t>
    <phoneticPr fontId="63" type="noConversion"/>
  </si>
  <si>
    <t>固定资产清理</t>
    <phoneticPr fontId="63" type="noConversion"/>
  </si>
  <si>
    <t>生产性生物资产</t>
    <phoneticPr fontId="63" type="noConversion"/>
  </si>
  <si>
    <t>生产性生物资产累计折旧</t>
    <phoneticPr fontId="63" type="noConversion"/>
  </si>
  <si>
    <t>生产性生物资产减值准备</t>
    <phoneticPr fontId="63" type="noConversion"/>
  </si>
  <si>
    <t>无形资产</t>
    <phoneticPr fontId="63" type="noConversion"/>
  </si>
  <si>
    <t>无形资产累计摊销</t>
    <phoneticPr fontId="63" type="noConversion"/>
  </si>
  <si>
    <t>无形资产减值准备</t>
    <phoneticPr fontId="63" type="noConversion"/>
  </si>
  <si>
    <t>商誉</t>
    <phoneticPr fontId="63" type="noConversion"/>
  </si>
  <si>
    <t>商誉减值准备</t>
    <phoneticPr fontId="63" type="noConversion"/>
  </si>
  <si>
    <t>长期待摊费用</t>
    <phoneticPr fontId="63" type="noConversion"/>
  </si>
  <si>
    <t>递延所得税资产</t>
    <phoneticPr fontId="63" type="noConversion"/>
  </si>
  <si>
    <t>其他非流动资产</t>
    <phoneticPr fontId="63" type="noConversion"/>
  </si>
  <si>
    <t>短期借款</t>
    <phoneticPr fontId="63" type="noConversion"/>
  </si>
  <si>
    <t>交易性金融负债</t>
    <phoneticPr fontId="63" type="noConversion"/>
  </si>
  <si>
    <t>应付票据</t>
    <phoneticPr fontId="63" type="noConversion"/>
  </si>
  <si>
    <t>应付账款</t>
    <phoneticPr fontId="63" type="noConversion"/>
  </si>
  <si>
    <t>预收账款</t>
    <phoneticPr fontId="63" type="noConversion"/>
  </si>
  <si>
    <t>其他应付款</t>
    <phoneticPr fontId="63" type="noConversion"/>
  </si>
  <si>
    <t>应付股利</t>
    <phoneticPr fontId="63" type="noConversion"/>
  </si>
  <si>
    <t>应付利息</t>
    <phoneticPr fontId="63" type="noConversion"/>
  </si>
  <si>
    <t>应交税费</t>
    <phoneticPr fontId="63" type="noConversion"/>
  </si>
  <si>
    <t>应付职工薪酬</t>
    <phoneticPr fontId="63" type="noConversion"/>
  </si>
  <si>
    <t>一年内到期的非流动负债</t>
    <phoneticPr fontId="63" type="noConversion"/>
  </si>
  <si>
    <t>其他流动负债</t>
    <phoneticPr fontId="63" type="noConversion"/>
  </si>
  <si>
    <t>长期借款</t>
    <phoneticPr fontId="63" type="noConversion"/>
  </si>
  <si>
    <t>应付债券</t>
    <phoneticPr fontId="63" type="noConversion"/>
  </si>
  <si>
    <t>长期应付款</t>
    <phoneticPr fontId="63" type="noConversion"/>
  </si>
  <si>
    <t>专项应付款</t>
    <phoneticPr fontId="63" type="noConversion"/>
  </si>
  <si>
    <t>预计负债</t>
    <phoneticPr fontId="63" type="noConversion"/>
  </si>
  <si>
    <t>递延所得税负债</t>
    <phoneticPr fontId="63" type="noConversion"/>
  </si>
  <si>
    <t>其他非流动负债</t>
    <phoneticPr fontId="63" type="noConversion"/>
  </si>
  <si>
    <t>实收资本</t>
    <phoneticPr fontId="63" type="noConversion"/>
  </si>
  <si>
    <t>资本公积</t>
    <phoneticPr fontId="63" type="noConversion"/>
  </si>
  <si>
    <t>库存股</t>
    <phoneticPr fontId="63" type="noConversion"/>
  </si>
  <si>
    <t>盈余公积</t>
    <phoneticPr fontId="63" type="noConversion"/>
  </si>
  <si>
    <t>未分配利润</t>
    <phoneticPr fontId="63" type="noConversion"/>
  </si>
  <si>
    <t>[自定义权益科目2…]</t>
    <phoneticPr fontId="63" type="noConversion"/>
  </si>
  <si>
    <t>主营业务收入</t>
    <phoneticPr fontId="63" type="noConversion"/>
  </si>
  <si>
    <t>其他业务收入</t>
    <phoneticPr fontId="63" type="noConversion"/>
  </si>
  <si>
    <t>利息收入</t>
    <phoneticPr fontId="63" type="noConversion"/>
  </si>
  <si>
    <t>主营业务成本</t>
    <phoneticPr fontId="63" type="noConversion"/>
  </si>
  <si>
    <t>其他业务成本</t>
    <phoneticPr fontId="63" type="noConversion"/>
  </si>
  <si>
    <t>利息支出</t>
    <phoneticPr fontId="63" type="noConversion"/>
  </si>
  <si>
    <t>营业税金及附加</t>
    <phoneticPr fontId="63" type="noConversion"/>
  </si>
  <si>
    <t>销售费用</t>
    <phoneticPr fontId="63" type="noConversion"/>
  </si>
  <si>
    <t>管理费用</t>
    <phoneticPr fontId="63" type="noConversion"/>
  </si>
  <si>
    <t>财务费用</t>
    <phoneticPr fontId="63" type="noConversion"/>
  </si>
  <si>
    <t>资产减值损失</t>
    <phoneticPr fontId="63" type="noConversion"/>
  </si>
  <si>
    <t>投资收益</t>
    <phoneticPr fontId="63" type="noConversion"/>
  </si>
  <si>
    <t>营业外收入</t>
    <phoneticPr fontId="63" type="noConversion"/>
  </si>
  <si>
    <t>营业外支出</t>
    <phoneticPr fontId="63" type="noConversion"/>
  </si>
  <si>
    <t>所得税费用</t>
    <phoneticPr fontId="63" type="noConversion"/>
  </si>
  <si>
    <t>年初未分配利润</t>
    <phoneticPr fontId="63" type="noConversion"/>
  </si>
  <si>
    <t>其他转入</t>
    <phoneticPr fontId="63" type="noConversion"/>
  </si>
  <si>
    <t>提取法定盈余公积</t>
    <phoneticPr fontId="63" type="noConversion"/>
  </si>
  <si>
    <t>提取职工奖励及福利基金</t>
    <phoneticPr fontId="63" type="noConversion"/>
  </si>
  <si>
    <t>提取储备基金</t>
    <phoneticPr fontId="63" type="noConversion"/>
  </si>
  <si>
    <t>提取企业发展基金</t>
    <phoneticPr fontId="63" type="noConversion"/>
  </si>
  <si>
    <t>提取任意盈余公积</t>
    <phoneticPr fontId="63" type="noConversion"/>
  </si>
  <si>
    <t>应付现金股利或利润</t>
    <phoneticPr fontId="63" type="noConversion"/>
  </si>
  <si>
    <t>转作股本的股利</t>
    <phoneticPr fontId="63" type="noConversion"/>
  </si>
  <si>
    <t>盈余公积补亏</t>
    <phoneticPr fontId="63" type="noConversion"/>
  </si>
  <si>
    <t>科目表</t>
    <phoneticPr fontId="63" type="noConversion"/>
  </si>
  <si>
    <t>&lt;&lt;</t>
    <phoneticPr fontId="1" type="noConversion"/>
  </si>
  <si>
    <r>
      <t>A</t>
    </r>
    <r>
      <rPr>
        <sz val="10"/>
        <rFont val="宋体"/>
        <family val="3"/>
        <charset val="134"/>
      </rPr>
      <t>12</t>
    </r>
    <phoneticPr fontId="63" type="noConversion"/>
  </si>
  <si>
    <t>F11</t>
    <phoneticPr fontId="63" type="noConversion"/>
  </si>
  <si>
    <r>
      <t>F</t>
    </r>
    <r>
      <rPr>
        <sz val="10"/>
        <rFont val="宋体"/>
        <family val="3"/>
        <charset val="134"/>
      </rPr>
      <t>13</t>
    </r>
    <phoneticPr fontId="63" type="noConversion"/>
  </si>
  <si>
    <r>
      <t>F</t>
    </r>
    <r>
      <rPr>
        <sz val="10"/>
        <rFont val="宋体"/>
        <family val="3"/>
        <charset val="134"/>
      </rPr>
      <t>10</t>
    </r>
    <phoneticPr fontId="63" type="noConversion"/>
  </si>
  <si>
    <r>
      <t>I</t>
    </r>
    <r>
      <rPr>
        <sz val="10"/>
        <rFont val="宋体"/>
        <family val="3"/>
        <charset val="134"/>
      </rPr>
      <t>10</t>
    </r>
    <phoneticPr fontId="63" type="noConversion"/>
  </si>
  <si>
    <r>
      <t>I</t>
    </r>
    <r>
      <rPr>
        <sz val="10"/>
        <rFont val="宋体"/>
        <family val="3"/>
        <charset val="134"/>
      </rPr>
      <t>11</t>
    </r>
    <phoneticPr fontId="63" type="noConversion"/>
  </si>
  <si>
    <r>
      <t>I</t>
    </r>
    <r>
      <rPr>
        <sz val="10"/>
        <rFont val="宋体"/>
        <family val="3"/>
        <charset val="134"/>
      </rPr>
      <t>12</t>
    </r>
    <phoneticPr fontId="63" type="noConversion"/>
  </si>
  <si>
    <r>
      <t>A</t>
    </r>
    <r>
      <rPr>
        <sz val="10"/>
        <rFont val="宋体"/>
        <family val="3"/>
        <charset val="134"/>
      </rPr>
      <t>13</t>
    </r>
    <phoneticPr fontId="63" type="noConversion"/>
  </si>
  <si>
    <t>F14</t>
    <phoneticPr fontId="63" type="noConversion"/>
  </si>
  <si>
    <r>
      <t>F</t>
    </r>
    <r>
      <rPr>
        <sz val="10"/>
        <rFont val="宋体"/>
        <family val="3"/>
        <charset val="134"/>
      </rPr>
      <t>15</t>
    </r>
    <phoneticPr fontId="63" type="noConversion"/>
  </si>
  <si>
    <r>
      <t>I</t>
    </r>
    <r>
      <rPr>
        <sz val="10"/>
        <rFont val="宋体"/>
        <family val="3"/>
        <charset val="134"/>
      </rPr>
      <t>13</t>
    </r>
    <phoneticPr fontId="63" type="noConversion"/>
  </si>
  <si>
    <r>
      <t>I</t>
    </r>
    <r>
      <rPr>
        <sz val="10"/>
        <rFont val="宋体"/>
        <family val="3"/>
        <charset val="134"/>
      </rPr>
      <t>14</t>
    </r>
    <phoneticPr fontId="63" type="noConversion"/>
  </si>
  <si>
    <t xml:space="preserve">b  </t>
    <phoneticPr fontId="1" type="noConversion"/>
  </si>
  <si>
    <t>期初余额与上年审计后报表期末数相符</t>
  </si>
  <si>
    <t>G/L</t>
  </si>
  <si>
    <t>与总账核对相符</t>
  </si>
  <si>
    <t>S/L</t>
  </si>
  <si>
    <t>与明细账核对相符</t>
  </si>
  <si>
    <t>B/S</t>
  </si>
  <si>
    <t>与资产负债表核对相符</t>
  </si>
  <si>
    <t>P/L</t>
  </si>
  <si>
    <t>与利润表核对相符</t>
  </si>
  <si>
    <t>TB</t>
  </si>
  <si>
    <t>与试算平衡表核对相符</t>
  </si>
  <si>
    <t>FS</t>
    <phoneticPr fontId="1" type="noConversion"/>
  </si>
  <si>
    <t>与已审会计报表核对相符</t>
  </si>
  <si>
    <t>PBC</t>
  </si>
  <si>
    <t>客户提供资料</t>
  </si>
  <si>
    <t>V</t>
  </si>
  <si>
    <t>与原始凭证核对相符（发票、入库单、出库单）</t>
  </si>
  <si>
    <t>R</t>
  </si>
  <si>
    <t>与文件依据核对相符（合同、协议、会议纪要）</t>
  </si>
  <si>
    <t>√</t>
    <phoneticPr fontId="1" type="noConversion"/>
  </si>
  <si>
    <t>与银行对账单核对一致</t>
  </si>
  <si>
    <t>已发询证函</t>
  </si>
  <si>
    <t>￠</t>
  </si>
  <si>
    <t>已收回询证函</t>
  </si>
  <si>
    <t>S/S</t>
  </si>
  <si>
    <t>未达事项已经发生</t>
  </si>
  <si>
    <t>L</t>
  </si>
  <si>
    <t>记录在正确的期间</t>
  </si>
  <si>
    <t>∧</t>
  </si>
  <si>
    <r>
      <t>直栏数字加计（竖加）</t>
    </r>
    <r>
      <rPr>
        <sz val="10"/>
        <rFont val="Times New Roman"/>
        <family val="1"/>
      </rPr>
      <t>,</t>
    </r>
    <r>
      <rPr>
        <sz val="10"/>
        <rFont val="宋体"/>
        <family val="3"/>
        <charset val="134"/>
      </rPr>
      <t>复核无误</t>
    </r>
  </si>
  <si>
    <t>&lt;</t>
  </si>
  <si>
    <r>
      <t>横栏数字加计（横加）</t>
    </r>
    <r>
      <rPr>
        <sz val="10"/>
        <rFont val="Times New Roman"/>
        <family val="1"/>
      </rPr>
      <t>,</t>
    </r>
    <r>
      <rPr>
        <sz val="10"/>
        <rFont val="宋体"/>
        <family val="3"/>
        <charset val="134"/>
      </rPr>
      <t>复核无误</t>
    </r>
  </si>
  <si>
    <t>χ</t>
  </si>
  <si>
    <r>
      <t>直横栏数字交叉加计（横加竖加）</t>
    </r>
    <r>
      <rPr>
        <sz val="10"/>
        <rFont val="Times New Roman"/>
        <family val="1"/>
      </rPr>
      <t>,</t>
    </r>
    <r>
      <rPr>
        <sz val="10"/>
        <rFont val="宋体"/>
        <family val="3"/>
        <charset val="134"/>
      </rPr>
      <t>复核无误</t>
    </r>
  </si>
  <si>
    <t>▲</t>
  </si>
  <si>
    <t>重点符号</t>
  </si>
  <si>
    <t>N/A</t>
  </si>
  <si>
    <r>
      <t>无此情况</t>
    </r>
    <r>
      <rPr>
        <sz val="10"/>
        <rFont val="Times New Roman"/>
        <family val="1"/>
      </rPr>
      <t>,</t>
    </r>
    <r>
      <rPr>
        <sz val="10"/>
        <rFont val="宋体"/>
        <family val="3"/>
        <charset val="134"/>
      </rPr>
      <t>不适用</t>
    </r>
  </si>
  <si>
    <t>&amp;</t>
  </si>
  <si>
    <t>关联单位</t>
  </si>
  <si>
    <t>审计结论</t>
    <phoneticPr fontId="63" type="noConversion"/>
  </si>
  <si>
    <t>经审计调整后，余额可以确认。</t>
    <phoneticPr fontId="63" type="noConversion"/>
  </si>
  <si>
    <t>经审计后，无调整事项，余额可以确认。</t>
    <phoneticPr fontId="63" type="noConversion"/>
  </si>
  <si>
    <t>经审计调整后，发生额可以确认。</t>
    <phoneticPr fontId="63" type="noConversion"/>
  </si>
  <si>
    <t>经审计后，无调整事项，发生额可以确认。</t>
    <phoneticPr fontId="63" type="noConversion"/>
  </si>
  <si>
    <t>审计标识符</t>
    <phoneticPr fontId="63" type="noConversion"/>
  </si>
  <si>
    <t>说明</t>
    <phoneticPr fontId="63" type="noConversion"/>
  </si>
  <si>
    <t>经我们审计，除上述说明事项外，未发现其他重大异常。</t>
    <phoneticPr fontId="63" type="noConversion"/>
  </si>
  <si>
    <r>
      <t>A</t>
    </r>
    <r>
      <rPr>
        <sz val="10"/>
        <rFont val="宋体"/>
        <family val="3"/>
        <charset val="134"/>
      </rPr>
      <t>0</t>
    </r>
    <r>
      <rPr>
        <sz val="10"/>
        <rFont val="宋体"/>
        <family val="3"/>
        <charset val="134"/>
      </rPr>
      <t>1</t>
    </r>
    <phoneticPr fontId="63" type="noConversion"/>
  </si>
  <si>
    <r>
      <t>A</t>
    </r>
    <r>
      <rPr>
        <sz val="10"/>
        <rFont val="宋体"/>
        <family val="3"/>
        <charset val="134"/>
      </rPr>
      <t>0</t>
    </r>
    <r>
      <rPr>
        <sz val="10"/>
        <rFont val="宋体"/>
        <family val="3"/>
        <charset val="134"/>
      </rPr>
      <t>3</t>
    </r>
    <phoneticPr fontId="63" type="noConversion"/>
  </si>
  <si>
    <r>
      <t>A</t>
    </r>
    <r>
      <rPr>
        <sz val="10"/>
        <rFont val="宋体"/>
        <family val="3"/>
        <charset val="134"/>
      </rPr>
      <t>0</t>
    </r>
    <r>
      <rPr>
        <sz val="10"/>
        <rFont val="宋体"/>
        <family val="3"/>
        <charset val="134"/>
      </rPr>
      <t>4</t>
    </r>
    <phoneticPr fontId="63" type="noConversion"/>
  </si>
  <si>
    <r>
      <t>A</t>
    </r>
    <r>
      <rPr>
        <sz val="10"/>
        <rFont val="宋体"/>
        <family val="3"/>
        <charset val="134"/>
      </rPr>
      <t>0</t>
    </r>
    <r>
      <rPr>
        <sz val="10"/>
        <rFont val="宋体"/>
        <family val="3"/>
        <charset val="134"/>
      </rPr>
      <t>5</t>
    </r>
    <phoneticPr fontId="63" type="noConversion"/>
  </si>
  <si>
    <r>
      <t>A</t>
    </r>
    <r>
      <rPr>
        <sz val="10"/>
        <rFont val="宋体"/>
        <family val="3"/>
        <charset val="134"/>
      </rPr>
      <t>0</t>
    </r>
    <r>
      <rPr>
        <sz val="10"/>
        <rFont val="宋体"/>
        <family val="3"/>
        <charset val="134"/>
      </rPr>
      <t>8</t>
    </r>
    <phoneticPr fontId="63" type="noConversion"/>
  </si>
  <si>
    <r>
      <t>A</t>
    </r>
    <r>
      <rPr>
        <sz val="10"/>
        <rFont val="宋体"/>
        <family val="3"/>
        <charset val="134"/>
      </rPr>
      <t>0</t>
    </r>
    <r>
      <rPr>
        <sz val="10"/>
        <rFont val="宋体"/>
        <family val="3"/>
        <charset val="134"/>
      </rPr>
      <t>6</t>
    </r>
    <phoneticPr fontId="63" type="noConversion"/>
  </si>
  <si>
    <r>
      <t>A</t>
    </r>
    <r>
      <rPr>
        <sz val="10"/>
        <rFont val="宋体"/>
        <family val="3"/>
        <charset val="134"/>
      </rPr>
      <t>0</t>
    </r>
    <r>
      <rPr>
        <sz val="10"/>
        <rFont val="宋体"/>
        <family val="3"/>
        <charset val="134"/>
      </rPr>
      <t>7</t>
    </r>
    <phoneticPr fontId="63" type="noConversion"/>
  </si>
  <si>
    <r>
      <t>A</t>
    </r>
    <r>
      <rPr>
        <sz val="10"/>
        <rFont val="宋体"/>
        <family val="3"/>
        <charset val="134"/>
      </rPr>
      <t>0</t>
    </r>
    <r>
      <rPr>
        <sz val="10"/>
        <rFont val="宋体"/>
        <family val="3"/>
        <charset val="134"/>
      </rPr>
      <t>9</t>
    </r>
    <phoneticPr fontId="63" type="noConversion"/>
  </si>
  <si>
    <t>[正中珠江]工作底稿参数表</t>
    <phoneticPr fontId="63" type="noConversion"/>
  </si>
  <si>
    <t>B01</t>
    <phoneticPr fontId="63" type="noConversion"/>
  </si>
  <si>
    <t>B02</t>
    <phoneticPr fontId="63" type="noConversion"/>
  </si>
  <si>
    <t>B03</t>
    <phoneticPr fontId="63" type="noConversion"/>
  </si>
  <si>
    <t>B04</t>
    <phoneticPr fontId="63" type="noConversion"/>
  </si>
  <si>
    <t>B05</t>
    <phoneticPr fontId="63" type="noConversion"/>
  </si>
  <si>
    <t>C01</t>
    <phoneticPr fontId="63" type="noConversion"/>
  </si>
  <si>
    <t>C04</t>
    <phoneticPr fontId="63" type="noConversion"/>
  </si>
  <si>
    <t>C03</t>
    <phoneticPr fontId="63" type="noConversion"/>
  </si>
  <si>
    <t>C02</t>
    <phoneticPr fontId="63" type="noConversion"/>
  </si>
  <si>
    <t>C05</t>
    <phoneticPr fontId="63" type="noConversion"/>
  </si>
  <si>
    <t>D01</t>
    <phoneticPr fontId="63" type="noConversion"/>
  </si>
  <si>
    <t>D02</t>
    <phoneticPr fontId="63" type="noConversion"/>
  </si>
  <si>
    <t>E01</t>
    <phoneticPr fontId="63" type="noConversion"/>
  </si>
  <si>
    <t>E02</t>
    <phoneticPr fontId="63" type="noConversion"/>
  </si>
  <si>
    <t>E03</t>
    <phoneticPr fontId="63" type="noConversion"/>
  </si>
  <si>
    <t>F01</t>
    <phoneticPr fontId="63" type="noConversion"/>
  </si>
  <si>
    <t>F02</t>
    <phoneticPr fontId="63" type="noConversion"/>
  </si>
  <si>
    <t>F03</t>
    <phoneticPr fontId="63" type="noConversion"/>
  </si>
  <si>
    <t>F04</t>
    <phoneticPr fontId="63" type="noConversion"/>
  </si>
  <si>
    <t>F05</t>
    <phoneticPr fontId="63" type="noConversion"/>
  </si>
  <si>
    <t>F09</t>
    <phoneticPr fontId="63" type="noConversion"/>
  </si>
  <si>
    <t>F08</t>
    <phoneticPr fontId="63" type="noConversion"/>
  </si>
  <si>
    <t>F06</t>
    <phoneticPr fontId="63" type="noConversion"/>
  </si>
  <si>
    <t>F21</t>
    <phoneticPr fontId="63" type="noConversion"/>
  </si>
  <si>
    <t>A21</t>
    <phoneticPr fontId="63" type="noConversion"/>
  </si>
  <si>
    <t>E21</t>
    <phoneticPr fontId="63" type="noConversion"/>
  </si>
  <si>
    <t>G01</t>
    <phoneticPr fontId="63" type="noConversion"/>
  </si>
  <si>
    <t>G02</t>
    <phoneticPr fontId="63" type="noConversion"/>
  </si>
  <si>
    <t>G03</t>
    <phoneticPr fontId="63" type="noConversion"/>
  </si>
  <si>
    <t>G04</t>
    <phoneticPr fontId="63" type="noConversion"/>
  </si>
  <si>
    <t>G05</t>
    <phoneticPr fontId="63" type="noConversion"/>
  </si>
  <si>
    <t>G06</t>
    <phoneticPr fontId="63" type="noConversion"/>
  </si>
  <si>
    <t>H01</t>
    <phoneticPr fontId="63" type="noConversion"/>
  </si>
  <si>
    <t>H02</t>
    <phoneticPr fontId="63" type="noConversion"/>
  </si>
  <si>
    <t>H06</t>
    <phoneticPr fontId="63" type="noConversion"/>
  </si>
  <si>
    <t>H03</t>
    <phoneticPr fontId="63" type="noConversion"/>
  </si>
  <si>
    <t>H04</t>
    <phoneticPr fontId="63" type="noConversion"/>
  </si>
  <si>
    <t>H07</t>
    <phoneticPr fontId="63" type="noConversion"/>
  </si>
  <si>
    <t>H21</t>
    <phoneticPr fontId="63" type="noConversion"/>
  </si>
  <si>
    <t>I01</t>
    <phoneticPr fontId="63" type="noConversion"/>
  </si>
  <si>
    <t>I02</t>
    <phoneticPr fontId="63" type="noConversion"/>
  </si>
  <si>
    <t>I04</t>
    <phoneticPr fontId="63" type="noConversion"/>
  </si>
  <si>
    <t>I03</t>
    <phoneticPr fontId="63" type="noConversion"/>
  </si>
  <si>
    <t>I07</t>
    <phoneticPr fontId="63" type="noConversion"/>
  </si>
  <si>
    <t>I08</t>
    <phoneticPr fontId="63" type="noConversion"/>
  </si>
  <si>
    <t>I05</t>
    <phoneticPr fontId="63" type="noConversion"/>
  </si>
  <si>
    <t>I09</t>
    <phoneticPr fontId="63" type="noConversion"/>
  </si>
  <si>
    <t>[自定义审计结论1…]</t>
    <phoneticPr fontId="63" type="noConversion"/>
  </si>
  <si>
    <t>[自定义审计结论2…]</t>
  </si>
  <si>
    <t>[自定义审计结论3…]</t>
  </si>
  <si>
    <t>钩稽核查区</t>
    <phoneticPr fontId="1" type="noConversion"/>
  </si>
  <si>
    <t>无</t>
  </si>
  <si>
    <t>无</t>
    <phoneticPr fontId="63" type="noConversion"/>
  </si>
  <si>
    <t>不适用</t>
  </si>
  <si>
    <t>A02</t>
    <phoneticPr fontId="63" type="noConversion"/>
  </si>
  <si>
    <t>交易性金融资产</t>
    <phoneticPr fontId="63" type="noConversion"/>
  </si>
  <si>
    <t>经审计测试后，未见异常。</t>
    <phoneticPr fontId="63" type="noConversion"/>
  </si>
  <si>
    <t>待摊费用</t>
    <phoneticPr fontId="63" type="noConversion"/>
  </si>
  <si>
    <t>开发支出</t>
    <phoneticPr fontId="63" type="noConversion"/>
  </si>
  <si>
    <t>预提费用</t>
    <phoneticPr fontId="63" type="noConversion"/>
  </si>
  <si>
    <t>公式</t>
    <phoneticPr fontId="1" type="noConversion"/>
  </si>
  <si>
    <t>填列参数</t>
    <phoneticPr fontId="1" type="noConversion"/>
  </si>
  <si>
    <r>
      <t>参见A</t>
    </r>
    <r>
      <rPr>
        <sz val="10"/>
        <rFont val="宋体"/>
        <family val="3"/>
        <charset val="134"/>
      </rPr>
      <t>01-</t>
    </r>
    <r>
      <rPr>
        <sz val="10"/>
        <rFont val="宋体"/>
        <family val="3"/>
        <charset val="134"/>
      </rPr>
      <t>FL:</t>
    </r>
    <phoneticPr fontId="63" type="noConversion"/>
  </si>
  <si>
    <t>*</t>
    <phoneticPr fontId="1" type="noConversion"/>
  </si>
  <si>
    <r>
      <rPr>
        <b/>
        <sz val="10"/>
        <rFont val="宋体"/>
        <family val="3"/>
        <charset val="134"/>
      </rPr>
      <t>制表开始</t>
    </r>
    <phoneticPr fontId="63" type="noConversion"/>
  </si>
  <si>
    <r>
      <t>(</t>
    </r>
    <r>
      <rPr>
        <sz val="10"/>
        <rFont val="宋体"/>
        <family val="3"/>
        <charset val="134"/>
      </rPr>
      <t>本表已设置了打印区域，请在本表格范围内添加或删除</t>
    </r>
    <r>
      <rPr>
        <sz val="10"/>
        <rFont val="Times New Roman"/>
        <family val="1"/>
      </rPr>
      <t xml:space="preserve"> </t>
    </r>
    <r>
      <rPr>
        <sz val="10"/>
        <rFont val="宋体"/>
        <family val="3"/>
        <charset val="134"/>
      </rPr>
      <t>行</t>
    </r>
    <r>
      <rPr>
        <sz val="10"/>
        <rFont val="Times New Roman"/>
        <family val="1"/>
      </rPr>
      <t xml:space="preserve"> </t>
    </r>
    <r>
      <rPr>
        <sz val="10"/>
        <rFont val="宋体"/>
        <family val="3"/>
        <charset val="134"/>
      </rPr>
      <t>和</t>
    </r>
    <r>
      <rPr>
        <sz val="10"/>
        <rFont val="Times New Roman"/>
        <family val="1"/>
      </rPr>
      <t xml:space="preserve"> </t>
    </r>
    <r>
      <rPr>
        <sz val="10"/>
        <rFont val="宋体"/>
        <family val="3"/>
        <charset val="134"/>
      </rPr>
      <t>列！</t>
    </r>
    <r>
      <rPr>
        <sz val="10"/>
        <rFont val="Times New Roman"/>
        <family val="1"/>
      </rPr>
      <t>)</t>
    </r>
    <phoneticPr fontId="63" type="noConversion"/>
  </si>
  <si>
    <r>
      <rPr>
        <b/>
        <sz val="10"/>
        <color indexed="8"/>
        <rFont val="宋体"/>
        <family val="3"/>
        <charset val="134"/>
      </rPr>
      <t>制表结束</t>
    </r>
    <phoneticPr fontId="63" type="noConversion"/>
  </si>
  <si>
    <r>
      <rPr>
        <b/>
        <sz val="10"/>
        <color indexed="8"/>
        <rFont val="宋体"/>
        <family val="3"/>
        <charset val="134"/>
      </rPr>
      <t>审计说明：</t>
    </r>
    <phoneticPr fontId="1" type="noConversion"/>
  </si>
  <si>
    <r>
      <rPr>
        <b/>
        <sz val="10"/>
        <color indexed="8"/>
        <rFont val="宋体"/>
        <family val="3"/>
        <charset val="134"/>
      </rPr>
      <t>审计调整：</t>
    </r>
    <phoneticPr fontId="1" type="noConversion"/>
  </si>
  <si>
    <r>
      <rPr>
        <b/>
        <sz val="10"/>
        <color indexed="8"/>
        <rFont val="宋体"/>
        <family val="3"/>
        <charset val="134"/>
      </rPr>
      <t>审计结论：</t>
    </r>
    <phoneticPr fontId="1" type="noConversion"/>
  </si>
  <si>
    <t>否</t>
  </si>
  <si>
    <t>[自定义货币资金1…]</t>
    <phoneticPr fontId="1" type="noConversion"/>
  </si>
  <si>
    <t>[自定义货币资金2…]</t>
    <phoneticPr fontId="1" type="noConversion"/>
  </si>
  <si>
    <t>[自定义货币资金3…]</t>
    <phoneticPr fontId="1" type="noConversion"/>
  </si>
  <si>
    <t>结算备付金</t>
    <phoneticPr fontId="1" type="noConversion"/>
  </si>
  <si>
    <t>拆出资金</t>
    <phoneticPr fontId="1" type="noConversion"/>
  </si>
  <si>
    <t>应收保户储金</t>
    <phoneticPr fontId="1" type="noConversion"/>
  </si>
  <si>
    <t>应收分保账款</t>
    <phoneticPr fontId="1" type="noConversion"/>
  </si>
  <si>
    <t>应收分保账款坏账准备</t>
    <phoneticPr fontId="1" type="noConversion"/>
  </si>
  <si>
    <t>应收分保合同准备金</t>
    <phoneticPr fontId="1" type="noConversion"/>
  </si>
  <si>
    <t>买入返售金融资产</t>
    <phoneticPr fontId="1" type="noConversion"/>
  </si>
  <si>
    <t>[自定义流动资产1…]</t>
    <phoneticPr fontId="1" type="noConversion"/>
  </si>
  <si>
    <t>[自定义流动资产2…]</t>
    <phoneticPr fontId="1" type="noConversion"/>
  </si>
  <si>
    <t>[自定义流动资产3…]</t>
    <phoneticPr fontId="1" type="noConversion"/>
  </si>
  <si>
    <t>[自定义流动资产4…]</t>
    <phoneticPr fontId="1" type="noConversion"/>
  </si>
  <si>
    <t>[自定义流动资产5…]</t>
    <phoneticPr fontId="1" type="noConversion"/>
  </si>
  <si>
    <t>贷款</t>
    <phoneticPr fontId="1" type="noConversion"/>
  </si>
  <si>
    <t>贷款损失准备</t>
    <phoneticPr fontId="1" type="noConversion"/>
  </si>
  <si>
    <t>未实现融资收益</t>
    <phoneticPr fontId="1" type="noConversion"/>
  </si>
  <si>
    <t>油气资产</t>
    <phoneticPr fontId="1" type="noConversion"/>
  </si>
  <si>
    <t>油气资产累计折耗</t>
    <phoneticPr fontId="1" type="noConversion"/>
  </si>
  <si>
    <t>[自定义非流动资产1…]</t>
    <phoneticPr fontId="1" type="noConversion"/>
  </si>
  <si>
    <t>[自定义非流动资产2…]</t>
    <phoneticPr fontId="1" type="noConversion"/>
  </si>
  <si>
    <t>[自定义非流动资产3…]</t>
    <phoneticPr fontId="1" type="noConversion"/>
  </si>
  <si>
    <t>[自定义非流动资产4…]</t>
    <phoneticPr fontId="1" type="noConversion"/>
  </si>
  <si>
    <t>[自定义非流动资产5…]</t>
    <phoneticPr fontId="1" type="noConversion"/>
  </si>
  <si>
    <t>向中央银行借款</t>
    <phoneticPr fontId="1" type="noConversion"/>
  </si>
  <si>
    <t>同业存放</t>
    <phoneticPr fontId="1" type="noConversion"/>
  </si>
  <si>
    <t>吸收存款</t>
    <phoneticPr fontId="1" type="noConversion"/>
  </si>
  <si>
    <t>拆入资金</t>
    <phoneticPr fontId="1" type="noConversion"/>
  </si>
  <si>
    <t>卖出回购金融资产</t>
    <phoneticPr fontId="1" type="noConversion"/>
  </si>
  <si>
    <t>应付手续费及佣金</t>
    <phoneticPr fontId="1" type="noConversion"/>
  </si>
  <si>
    <t>应付分保账款</t>
    <phoneticPr fontId="1" type="noConversion"/>
  </si>
  <si>
    <t>保险合同准备金</t>
    <phoneticPr fontId="1" type="noConversion"/>
  </si>
  <si>
    <t>代理买卖证券款</t>
    <phoneticPr fontId="1" type="noConversion"/>
  </si>
  <si>
    <t>代理承销证券款</t>
    <phoneticPr fontId="1" type="noConversion"/>
  </si>
  <si>
    <t>[自定义流动负债1…]</t>
    <phoneticPr fontId="1" type="noConversion"/>
  </si>
  <si>
    <t>[自定义流动负债2…]</t>
    <phoneticPr fontId="1" type="noConversion"/>
  </si>
  <si>
    <t>[自定义流动负债3…]</t>
    <phoneticPr fontId="1" type="noConversion"/>
  </si>
  <si>
    <t>[自定义流动负债4…]</t>
    <phoneticPr fontId="1" type="noConversion"/>
  </si>
  <si>
    <t>[自定义流动负债5…]</t>
    <phoneticPr fontId="1" type="noConversion"/>
  </si>
  <si>
    <t>未确认融资费用</t>
    <phoneticPr fontId="1" type="noConversion"/>
  </si>
  <si>
    <t>[自定义非流动负债1…]</t>
    <phoneticPr fontId="1" type="noConversion"/>
  </si>
  <si>
    <t>[自定义非流动负债2…]</t>
    <phoneticPr fontId="1" type="noConversion"/>
  </si>
  <si>
    <t>[自定义非流动负债3…]</t>
    <phoneticPr fontId="1" type="noConversion"/>
  </si>
  <si>
    <t>专项储备</t>
    <phoneticPr fontId="1" type="noConversion"/>
  </si>
  <si>
    <t>一般风险准备</t>
    <phoneticPr fontId="1" type="noConversion"/>
  </si>
  <si>
    <t>外币报表折算差额</t>
    <phoneticPr fontId="1" type="noConversion"/>
  </si>
  <si>
    <t>保费收入</t>
    <phoneticPr fontId="1" type="noConversion"/>
  </si>
  <si>
    <t>手续费及佣金收入</t>
    <phoneticPr fontId="1" type="noConversion"/>
  </si>
  <si>
    <t>[自定义收入1…]</t>
    <phoneticPr fontId="1" type="noConversion"/>
  </si>
  <si>
    <t>[自定义收入2…]</t>
    <phoneticPr fontId="1" type="noConversion"/>
  </si>
  <si>
    <t>手续费及佣金支出</t>
    <phoneticPr fontId="1" type="noConversion"/>
  </si>
  <si>
    <t>退保金</t>
    <phoneticPr fontId="1" type="noConversion"/>
  </si>
  <si>
    <t>赔付支出</t>
    <phoneticPr fontId="1" type="noConversion"/>
  </si>
  <si>
    <t>摊回赔付支出</t>
    <phoneticPr fontId="1" type="noConversion"/>
  </si>
  <si>
    <t>提取保险责任准备金</t>
    <phoneticPr fontId="1" type="noConversion"/>
  </si>
  <si>
    <t>摊回保险责任准备金</t>
    <phoneticPr fontId="1" type="noConversion"/>
  </si>
  <si>
    <t>保单红利支出</t>
    <phoneticPr fontId="1" type="noConversion"/>
  </si>
  <si>
    <t>分保费用</t>
    <phoneticPr fontId="1" type="noConversion"/>
  </si>
  <si>
    <t>摊回分保费用</t>
    <phoneticPr fontId="1" type="noConversion"/>
  </si>
  <si>
    <t>[自定义成本1…]</t>
    <phoneticPr fontId="1" type="noConversion"/>
  </si>
  <si>
    <t>[自定义成本2…]</t>
    <phoneticPr fontId="1" type="noConversion"/>
  </si>
  <si>
    <t>[自定义成本3…]</t>
    <phoneticPr fontId="1" type="noConversion"/>
  </si>
  <si>
    <r>
      <t>[自定义费用</t>
    </r>
    <r>
      <rPr>
        <sz val="10"/>
        <rFont val="宋体"/>
        <family val="3"/>
        <charset val="134"/>
      </rPr>
      <t>1</t>
    </r>
    <r>
      <rPr>
        <sz val="10"/>
        <rFont val="宋体"/>
        <family val="3"/>
        <charset val="134"/>
      </rPr>
      <t>…]</t>
    </r>
    <phoneticPr fontId="1" type="noConversion"/>
  </si>
  <si>
    <t>[自定义提取1…]</t>
    <phoneticPr fontId="1" type="noConversion"/>
  </si>
  <si>
    <t>[自定义提取2…]</t>
    <phoneticPr fontId="1" type="noConversion"/>
  </si>
  <si>
    <t>公允价值变动收益</t>
    <phoneticPr fontId="63" type="noConversion"/>
  </si>
  <si>
    <t>汇兑收益</t>
    <phoneticPr fontId="63" type="noConversion"/>
  </si>
  <si>
    <t>经审计调整后，余额可以确认。</t>
  </si>
  <si>
    <t>WP-01</t>
    <phoneticPr fontId="1" type="noConversion"/>
  </si>
  <si>
    <t>WP-02</t>
    <phoneticPr fontId="1" type="noConversion"/>
  </si>
  <si>
    <t>WP-03</t>
    <phoneticPr fontId="1" type="noConversion"/>
  </si>
  <si>
    <t>评价专家的专业胜任能力应考虑：</t>
  </si>
  <si>
    <t>（1）专家是否具有适当职业团体授予的专业资格或执业许可证，或是适当职业团体的会员。对于专家的专业资格，可以通过获取专家的资格证书或执业许可证加以证实。通常，通过向有权制定会员执业标准的职业团体证实更为适当。</t>
  </si>
  <si>
    <t>（2）在寻求审计证据的领域中，专家的经验和声望。经验主要是指专家在其专业领域中执业时间的长短、接触客户的数量和以往的业绩；声望主要涉及专家在其专业领域的地位、身份、威望和口碑等。如果在专家的专业领域没有适当的职业团体，不存在适当职业团体授予的资格证书或执业许可证，那么就需要了解专家在特定领域的经验和声望。</t>
  </si>
  <si>
    <t>（3）还可以向专家的同仁以及其它了解专家能力和工作表现的人员进行询问，以了解专家的胜任能力。如果是连续审计，在以前审计中与专家合作的经历是需要考虑的最重要因素。</t>
  </si>
  <si>
    <t>（4）需要注意的是，一些专业领域（如医学领域）还有进一步细致的专业划分，在这种情况下，需要确信专家在细化的专业领域中是合格的。</t>
  </si>
  <si>
    <t>（5）当利用会计师事务所内部专家的工作时，可以依赖会计师事务所的招聘和培训系统确定专家的专业胜任能力，而不必就每一项审计业务专家的工作进行评估。但需要关注专家的知识更新程度，特别是对于变化非常快的专业领域，如信息技术领域。</t>
  </si>
  <si>
    <t>当存在下列情况时，专家的客观性受到损害的风险将会增加：</t>
  </si>
  <si>
    <t>（1）专家受雇于被审计单位</t>
  </si>
  <si>
    <t>受雇于被审计单位的专家显然是缺乏独立性的，进而也可能损害其客观性。下列因素还会加重专家因为缺乏独立性而观其客观性的损害：</t>
  </si>
  <si>
    <t>A 专家工作所涉及的事项对审计意见非常重要；</t>
  </si>
  <si>
    <t>B 专家不独立于对所涉及事项负有责任的人员或部门；</t>
  </si>
  <si>
    <t>C 以往和当前的审计业务表明专家不独立于管理层，或者受到来自管理层的过大压力；</t>
  </si>
  <si>
    <t>D 专家不遵守职业道德标准；</t>
  </si>
  <si>
    <t>E 专家在经济上或其它方面（如提升的可能）受所涉及事项结果的影响。</t>
  </si>
  <si>
    <t>在上述情况下，应当考虑利用被审计单位外部的专家或采取其它措施。</t>
  </si>
  <si>
    <t>应当指出的是，也有一些因素可能会缓解受雇于被审计单位的专家因缺乏独立性而对其客观性的影响。在这些情况下，可能并不需要考虑利用被审计单位外部的专家或采取其它措施：</t>
  </si>
  <si>
    <t>A 专家工作所涉及的事项对审计意见并不重要；</t>
  </si>
  <si>
    <t>B 在被审计单位内部，专家实际上具有很强的独立性，如直接向高级管理人员或审计委员会报告；</t>
  </si>
  <si>
    <t>C 专家所属的职业团体对独立性和客观性的要求很高，不符合职业标准的行为可能招致惩戒；</t>
  </si>
  <si>
    <t>D 对专家工作涉及的事项，专家具有法定的或职业的报告要求；</t>
  </si>
  <si>
    <t>E 专家工作涉及事项的结果与专家没有经济利益关系或其它关联（如专家的工资并不与其业绩直接相关）；</t>
  </si>
  <si>
    <t>F 以往和当前的审计经验表明专家独立于管理层。</t>
  </si>
  <si>
    <t>（2）专家在其它方面与被审计单位存在关联关系，如经济上依赖于被审计单位或投资于被审计单位在评价被审计单位外部专家的客观性时，通常需要考虑专家或其所在组织与被审计单位是否存在重大的经济利益关系或者其它关系。</t>
  </si>
  <si>
    <t>如果存在被审计单位对专家职责范围作出规定的书面文件，该书面文件中通常会有对专家和被审计单位之间关系的说明，可以通过查阅该文件以评伦专家的客观性。</t>
  </si>
  <si>
    <t>工作底稿使用说明：</t>
    <phoneticPr fontId="63" type="noConversion"/>
  </si>
  <si>
    <t>1、点击对应的工作表名（例：WP-00）可定位到相应的工作底稿表；</t>
    <phoneticPr fontId="63" type="noConversion"/>
  </si>
  <si>
    <t>2、所有工作底稿的单元格底色颜色标识：</t>
    <phoneticPr fontId="63" type="noConversion"/>
  </si>
  <si>
    <t>3、编制底稿前，应在index表输入基本参数，指定编制人员/日期、审核人员/日期，并对需要编制的底稿表设置编制状态为[必须]，不编制的底稿表设置编制状态为[无须]；</t>
    <phoneticPr fontId="63" type="noConversion"/>
  </si>
  <si>
    <t>4、若在审计过程中需要用到[自定义科目...]或[自定义审计结论]，请手工在【CS】表中对应位置来更改为你所需要的内容；</t>
    <phoneticPr fontId="63" type="noConversion"/>
  </si>
  <si>
    <t>为确保本底稿被GPAS系统插件程序正常控制,请严格遵守下述操作规程:</t>
    <phoneticPr fontId="63" type="noConversion"/>
  </si>
  <si>
    <t>1、不要删除A列标记为*号的行，不要修改该行的工作表名信息，不要删除对应该工作表名的工作表！</t>
    <phoneticPr fontId="63" type="noConversion"/>
  </si>
  <si>
    <t>2、若底稿表内已有的模板不满足编制要求，可添加新的空白底稿，并在新空白底稿的划定区域内添加删除行和列，来编制你自己的底稿；</t>
    <phoneticPr fontId="63" type="noConversion"/>
  </si>
  <si>
    <t>3、插入新底稿，可在A列红色区域内插入行，输入该行内的相关信息后，点击编制刷新按钮，即可生成一张新底稿；</t>
    <phoneticPr fontId="63" type="noConversion"/>
  </si>
  <si>
    <t>4、新插入底稿的工作表名不可以与其他任何工作表名重复，一般命名为上一行的子表名，例：在WP-02下插入两个空白底稿，应命名为WP-02-01、WP-02-02；</t>
    <phoneticPr fontId="63" type="noConversion"/>
  </si>
  <si>
    <t>5、所有没有用到的工作底稿，可指定编制状态为[无须]，点击编制刷新按钮后，将隐藏该工作表；</t>
    <phoneticPr fontId="63" type="noConversion"/>
  </si>
  <si>
    <t>6、所有已编制的工作底稿，必须指定为[必须]状态，且编制完成为[已完成]、审核完成为[已审核]，该底稿表方认可为编制完成；程序将对手工指定的编制完成与后面的实际执行情况进行勾稽核查，如为【Err】，说明后面的表未编制完成；</t>
    <phoneticPr fontId="63" type="noConversion"/>
  </si>
  <si>
    <t>7、点击编制刷新按钮后，所有未对应到目录的工作表将被移到Tips表后，确认这些工作表无用后，请手工删除！</t>
    <phoneticPr fontId="63" type="noConversion"/>
  </si>
  <si>
    <t>8、所有必须编制且编辑及审核完成的表，可指定多表预览参数为【是】，点击多表预览按钮后，将自动选定多表进行预览(请自行确定是否打印输出)；关闭打印预览后，需点一下其他表格取消多表选定（防止同时编辑多表数据）</t>
    <phoneticPr fontId="63" type="noConversion"/>
  </si>
  <si>
    <t>客户名称:</t>
    <phoneticPr fontId="63" type="noConversion"/>
  </si>
  <si>
    <t>客户简称:</t>
    <phoneticPr fontId="63" type="noConversion"/>
  </si>
  <si>
    <t>首次承接:</t>
    <phoneticPr fontId="63" type="noConversion"/>
  </si>
  <si>
    <t>开始日期:</t>
    <phoneticPr fontId="63" type="noConversion"/>
  </si>
  <si>
    <t>货币单位:</t>
    <phoneticPr fontId="63" type="noConversion"/>
  </si>
  <si>
    <t>人民币</t>
    <phoneticPr fontId="63" type="noConversion"/>
  </si>
  <si>
    <t>项目名称:</t>
    <phoneticPr fontId="63" type="noConversion"/>
  </si>
  <si>
    <t>项目代码:</t>
    <phoneticPr fontId="63" type="noConversion"/>
  </si>
  <si>
    <t>集团审计:</t>
    <phoneticPr fontId="63" type="noConversion"/>
  </si>
  <si>
    <t>截止日期:</t>
    <phoneticPr fontId="63" type="noConversion"/>
  </si>
  <si>
    <t>汇率:</t>
    <phoneticPr fontId="63" type="noConversion"/>
  </si>
  <si>
    <t>工作表名</t>
    <phoneticPr fontId="63" type="noConversion"/>
  </si>
  <si>
    <t>底稿名称</t>
    <phoneticPr fontId="63" type="noConversion"/>
  </si>
  <si>
    <t>索引号</t>
    <phoneticPr fontId="63" type="noConversion"/>
  </si>
  <si>
    <t>编制</t>
    <phoneticPr fontId="63" type="noConversion"/>
  </si>
  <si>
    <t>编制人员</t>
    <phoneticPr fontId="63" type="noConversion"/>
  </si>
  <si>
    <t>编制日期</t>
    <phoneticPr fontId="63" type="noConversion"/>
  </si>
  <si>
    <t>编制完成</t>
    <phoneticPr fontId="63" type="noConversion"/>
  </si>
  <si>
    <t>编制检查</t>
    <phoneticPr fontId="63" type="noConversion"/>
  </si>
  <si>
    <t>审核人员</t>
    <phoneticPr fontId="63" type="noConversion"/>
  </si>
  <si>
    <t>审核日期</t>
    <phoneticPr fontId="63" type="noConversion"/>
  </si>
  <si>
    <t>审核完成</t>
    <phoneticPr fontId="63" type="noConversion"/>
  </si>
  <si>
    <t>审核检查</t>
    <phoneticPr fontId="63" type="noConversion"/>
  </si>
  <si>
    <t>【是/否】</t>
    <phoneticPr fontId="63" type="noConversion"/>
  </si>
  <si>
    <t>必须</t>
    <phoneticPr fontId="63" type="noConversion"/>
  </si>
  <si>
    <t>必须</t>
  </si>
  <si>
    <t>资金流水专项核查</t>
    <phoneticPr fontId="63" type="noConversion"/>
  </si>
  <si>
    <t>银行账户信息表</t>
    <phoneticPr fontId="1" type="noConversion"/>
  </si>
  <si>
    <t>资金流水专项核查工作底稿</t>
    <phoneticPr fontId="1" type="noConversion"/>
  </si>
  <si>
    <t>必须</t>
    <phoneticPr fontId="1" type="noConversion"/>
  </si>
  <si>
    <t>WP-04</t>
    <phoneticPr fontId="1" type="noConversion"/>
  </si>
  <si>
    <t>审计目标：</t>
    <phoneticPr fontId="1" type="noConversion"/>
  </si>
  <si>
    <t>按发行监管函【2012】551号要求重点核查事项要求，核查被审单位以自我交易的方式实现收入、利润的虚假增长。即首先通过虚构交易（例如，支付往来款项、购买原材料等）将大额资金转出，再将上述资金设法转入发行人客户，最终以销售交易的方式将资金转回。</t>
    <phoneticPr fontId="1" type="noConversion"/>
  </si>
  <si>
    <t>1、从发行人及发行人子公司开户行获取已开立结算账户清单与申报期内各年度的财务账进行核对情况如下：</t>
    <phoneticPr fontId="1" type="noConversion"/>
  </si>
  <si>
    <t>序号</t>
  </si>
  <si>
    <t>开户名称</t>
    <phoneticPr fontId="1" type="noConversion"/>
  </si>
  <si>
    <t>与发行人关系</t>
    <phoneticPr fontId="120" type="noConversion"/>
  </si>
  <si>
    <t>开户行名称</t>
  </si>
  <si>
    <t>账号</t>
  </si>
  <si>
    <t>币种</t>
    <phoneticPr fontId="120" type="noConversion"/>
  </si>
  <si>
    <t>账户性质</t>
  </si>
  <si>
    <t>开户日期</t>
  </si>
  <si>
    <t>账户状态</t>
  </si>
  <si>
    <t>久悬日期</t>
  </si>
  <si>
    <t>销户日期</t>
  </si>
  <si>
    <t>异地经营情况</t>
    <phoneticPr fontId="120" type="noConversion"/>
  </si>
  <si>
    <t>是否与账务一致</t>
  </si>
  <si>
    <t>是否与对账单一致</t>
    <phoneticPr fontId="121" type="noConversion"/>
  </si>
  <si>
    <t>备注</t>
    <phoneticPr fontId="1" type="noConversion"/>
  </si>
  <si>
    <t>索引号</t>
    <phoneticPr fontId="1" type="noConversion"/>
  </si>
  <si>
    <t>1</t>
  </si>
  <si>
    <t>A股份有限公司</t>
    <phoneticPr fontId="1" type="noConversion"/>
  </si>
  <si>
    <t>发行人</t>
    <phoneticPr fontId="120" type="noConversion"/>
  </si>
  <si>
    <t>人民币</t>
    <phoneticPr fontId="120" type="noConversion"/>
  </si>
  <si>
    <r>
      <rPr>
        <sz val="10"/>
        <color theme="1"/>
        <rFont val="宋体"/>
        <family val="3"/>
        <charset val="134"/>
      </rPr>
      <t>撤销</t>
    </r>
  </si>
  <si>
    <t>非异地</t>
    <phoneticPr fontId="120" type="noConversion"/>
  </si>
  <si>
    <t>2</t>
  </si>
  <si>
    <r>
      <t>B</t>
    </r>
    <r>
      <rPr>
        <sz val="10"/>
        <color theme="1"/>
        <rFont val="宋体"/>
        <family val="3"/>
        <charset val="134"/>
      </rPr>
      <t>有限责任公司</t>
    </r>
    <phoneticPr fontId="1" type="noConversion"/>
  </si>
  <si>
    <t>发行人子公司</t>
    <phoneticPr fontId="120" type="noConversion"/>
  </si>
  <si>
    <t>非异地</t>
  </si>
  <si>
    <t>3</t>
  </si>
  <si>
    <r>
      <t>C</t>
    </r>
    <r>
      <rPr>
        <sz val="10"/>
        <color theme="1"/>
        <rFont val="宋体"/>
        <family val="3"/>
        <charset val="134"/>
      </rPr>
      <t>有限责任公司</t>
    </r>
    <phoneticPr fontId="1" type="noConversion"/>
  </si>
  <si>
    <r>
      <rPr>
        <sz val="10"/>
        <color theme="1"/>
        <rFont val="宋体"/>
        <family val="3"/>
        <charset val="134"/>
      </rPr>
      <t>正常</t>
    </r>
  </si>
  <si>
    <r>
      <t>D</t>
    </r>
    <r>
      <rPr>
        <sz val="10"/>
        <color theme="1"/>
        <rFont val="宋体"/>
        <family val="3"/>
        <charset val="134"/>
      </rPr>
      <t>有限责任公司</t>
    </r>
    <phoneticPr fontId="1" type="noConversion"/>
  </si>
  <si>
    <t>《已开立银行结算账户清单》无法显示，但企业账面有列示的银行账户信息如下：</t>
    <phoneticPr fontId="1" type="noConversion"/>
  </si>
  <si>
    <t>美元</t>
    <phoneticPr fontId="120" type="noConversion"/>
  </si>
  <si>
    <t>开户清单无法显示</t>
    <phoneticPr fontId="1" type="noConversion"/>
  </si>
  <si>
    <t>美元</t>
  </si>
  <si>
    <t>正常</t>
    <phoneticPr fontId="120" type="noConversion"/>
  </si>
  <si>
    <t>美元</t>
    <phoneticPr fontId="1" type="noConversion"/>
  </si>
  <si>
    <t>（2）其他货币资金</t>
    <phoneticPr fontId="1" type="noConversion"/>
  </si>
  <si>
    <t>使用是否受限</t>
    <phoneticPr fontId="1" type="noConversion"/>
  </si>
  <si>
    <t>是</t>
    <phoneticPr fontId="1" type="noConversion"/>
  </si>
  <si>
    <t>否</t>
    <phoneticPr fontId="1" type="noConversion"/>
  </si>
  <si>
    <t>2、核查银行账户销户情况，核实销户原因是否合理。</t>
    <phoneticPr fontId="1" type="noConversion"/>
  </si>
  <si>
    <t>公司名称</t>
    <phoneticPr fontId="1" type="noConversion"/>
  </si>
  <si>
    <t>销户银行</t>
  </si>
  <si>
    <t>销户原因</t>
  </si>
  <si>
    <t>销户申请人</t>
    <phoneticPr fontId="1" type="noConversion"/>
  </si>
  <si>
    <t>是否有财务总监、总经理审批（是/否）</t>
    <phoneticPr fontId="1" type="noConversion"/>
  </si>
  <si>
    <t>&lt;5020-01-01&gt;</t>
    <phoneticPr fontId="1" type="noConversion"/>
  </si>
  <si>
    <t>XXXXXXXX</t>
    <phoneticPr fontId="1" type="noConversion"/>
  </si>
  <si>
    <t>e银行xx支行</t>
    <phoneticPr fontId="1" type="noConversion"/>
  </si>
  <si>
    <t>f银行xx支行</t>
    <phoneticPr fontId="1" type="noConversion"/>
  </si>
  <si>
    <t>g银行xx支行</t>
    <phoneticPr fontId="1" type="noConversion"/>
  </si>
  <si>
    <t>h银行xx支行</t>
    <phoneticPr fontId="1" type="noConversion"/>
  </si>
  <si>
    <t>（1）银行存款(从《已开立银行结算账户清单》填列)</t>
    <phoneticPr fontId="1" type="noConversion"/>
  </si>
  <si>
    <t>执行情况：</t>
    <phoneticPr fontId="1" type="noConversion"/>
  </si>
  <si>
    <t>核查程序及结论：</t>
    <phoneticPr fontId="1" type="noConversion"/>
  </si>
  <si>
    <r>
      <rPr>
        <b/>
        <sz val="10"/>
        <color indexed="8"/>
        <rFont val="Times New Roman"/>
        <family val="1"/>
      </rPr>
      <t>1.</t>
    </r>
    <r>
      <rPr>
        <b/>
        <sz val="10"/>
        <color indexed="8"/>
        <rFont val="宋体"/>
        <family val="3"/>
        <charset val="134"/>
      </rPr>
      <t>获取发行人及其子公司、分公司申报期内所有银行账户信息</t>
    </r>
    <phoneticPr fontId="120" type="noConversion"/>
  </si>
  <si>
    <t>2.分析申报期内开户银行的数量及分布与公司实际经营的需要是否一致</t>
    <phoneticPr fontId="120" type="noConversion"/>
  </si>
  <si>
    <t>3.分析银行账户销户原因</t>
    <phoneticPr fontId="120" type="noConversion"/>
  </si>
  <si>
    <r>
      <rPr>
        <b/>
        <sz val="10"/>
        <color indexed="8"/>
        <rFont val="Times New Roman"/>
        <family val="1"/>
      </rPr>
      <t xml:space="preserve">4. </t>
    </r>
    <r>
      <rPr>
        <b/>
        <sz val="10"/>
        <color indexed="8"/>
        <rFont val="宋体"/>
        <family val="3"/>
        <charset val="134"/>
      </rPr>
      <t>取得其他货币资金明细表，包括但不限于开户行、账号、开户地址、款项用途、使用是否受限</t>
    </r>
    <phoneticPr fontId="1" type="noConversion"/>
  </si>
  <si>
    <r>
      <rPr>
        <sz val="10"/>
        <color indexed="8"/>
        <rFont val="宋体"/>
        <family val="3"/>
        <charset val="134"/>
      </rPr>
      <t>见本表第</t>
    </r>
    <r>
      <rPr>
        <sz val="10"/>
        <color indexed="8"/>
        <rFont val="Times New Roman"/>
        <family val="1"/>
      </rPr>
      <t>1</t>
    </r>
    <r>
      <rPr>
        <sz val="10"/>
        <color indexed="8"/>
        <rFont val="宋体"/>
        <family val="3"/>
        <charset val="134"/>
      </rPr>
      <t>（</t>
    </r>
    <r>
      <rPr>
        <sz val="10"/>
        <color indexed="8"/>
        <rFont val="Times New Roman"/>
        <family val="1"/>
      </rPr>
      <t>2</t>
    </r>
    <r>
      <rPr>
        <sz val="10"/>
        <color indexed="8"/>
        <rFont val="宋体"/>
        <family val="3"/>
        <charset val="134"/>
      </rPr>
      <t>）点说明。</t>
    </r>
    <phoneticPr fontId="1" type="noConversion"/>
  </si>
  <si>
    <t>5.对于存在受限的异地账户的，跟踪获取相应原始资料，结合发行人在异地的生产经营情况，分析开户合理性</t>
    <phoneticPr fontId="1" type="noConversion"/>
  </si>
  <si>
    <t>不适用。不存在受限的异地账户。</t>
    <phoneticPr fontId="1" type="noConversion"/>
  </si>
  <si>
    <t>6.对申报期内主要银行账户各年末余额进行函证，与银行存款日记账进行核对，关注重大差异</t>
    <phoneticPr fontId="1" type="noConversion"/>
  </si>
  <si>
    <r>
      <rPr>
        <sz val="10"/>
        <color rgb="FFFF0000"/>
        <rFont val="Times New Roman"/>
        <family val="1"/>
      </rPr>
      <t>2014</t>
    </r>
    <r>
      <rPr>
        <sz val="10"/>
        <color rgb="FFFF0000"/>
        <rFont val="宋体"/>
        <family val="3"/>
        <charset val="134"/>
      </rPr>
      <t>年、</t>
    </r>
    <r>
      <rPr>
        <sz val="10"/>
        <color rgb="FFFF0000"/>
        <rFont val="Times New Roman"/>
        <family val="1"/>
      </rPr>
      <t>2015</t>
    </r>
    <r>
      <rPr>
        <sz val="10"/>
        <color rgb="FFFF0000"/>
        <rFont val="宋体"/>
        <family val="3"/>
        <charset val="134"/>
      </rPr>
      <t>年和</t>
    </r>
    <r>
      <rPr>
        <sz val="10"/>
        <color rgb="FFFF0000"/>
        <rFont val="Times New Roman"/>
        <family val="1"/>
      </rPr>
      <t>2016</t>
    </r>
    <r>
      <rPr>
        <sz val="10"/>
        <color rgb="FFFF0000"/>
        <rFont val="宋体"/>
        <family val="3"/>
        <charset val="134"/>
      </rPr>
      <t>年</t>
    </r>
    <r>
      <rPr>
        <sz val="10"/>
        <color indexed="8"/>
        <rFont val="宋体"/>
        <family val="3"/>
        <charset val="134"/>
      </rPr>
      <t>年度审计均对所有银行账户进行函证，回函金额均无误，且与银行存款日记账一致，不存在差异。见各年度实质性底稿货币资金底稿</t>
    </r>
    <r>
      <rPr>
        <sz val="10"/>
        <color indexed="8"/>
        <rFont val="Times New Roman"/>
        <family val="1"/>
      </rPr>
      <t>A04-07.</t>
    </r>
    <phoneticPr fontId="1" type="noConversion"/>
  </si>
  <si>
    <r>
      <rPr>
        <b/>
        <sz val="10"/>
        <rFont val="宋体"/>
        <family val="3"/>
        <charset val="134"/>
      </rPr>
      <t>序号</t>
    </r>
  </si>
  <si>
    <r>
      <rPr>
        <b/>
        <sz val="10"/>
        <rFont val="宋体"/>
        <family val="3"/>
        <charset val="134"/>
      </rPr>
      <t>开户行</t>
    </r>
  </si>
  <si>
    <r>
      <rPr>
        <b/>
        <sz val="10"/>
        <rFont val="宋体"/>
        <family val="3"/>
        <charset val="134"/>
      </rPr>
      <t>币种</t>
    </r>
  </si>
  <si>
    <r>
      <rPr>
        <b/>
        <sz val="10"/>
        <color indexed="8"/>
        <rFont val="宋体"/>
        <family val="3"/>
        <charset val="134"/>
      </rPr>
      <t>帐户性质</t>
    </r>
  </si>
  <si>
    <r>
      <rPr>
        <b/>
        <sz val="10"/>
        <rFont val="宋体"/>
        <family val="3"/>
        <charset val="134"/>
      </rPr>
      <t>帐号</t>
    </r>
  </si>
  <si>
    <t>流水/对账单打印日期</t>
  </si>
  <si>
    <r>
      <rPr>
        <b/>
        <sz val="10"/>
        <rFont val="宋体"/>
        <family val="3"/>
        <charset val="134"/>
      </rPr>
      <t>企业出纳</t>
    </r>
    <phoneticPr fontId="1" type="noConversion"/>
  </si>
  <si>
    <r>
      <rPr>
        <b/>
        <sz val="10"/>
        <rFont val="宋体"/>
        <family val="3"/>
        <charset val="134"/>
      </rPr>
      <t>事务所陪同人员</t>
    </r>
    <phoneticPr fontId="1" type="noConversion"/>
  </si>
  <si>
    <t>银行存款账户</t>
    <phoneticPr fontId="121" type="noConversion"/>
  </si>
  <si>
    <t>下列银行账户已开通网上银行：</t>
    <phoneticPr fontId="1" type="noConversion"/>
  </si>
  <si>
    <t>银行名称</t>
    <phoneticPr fontId="1" type="noConversion"/>
  </si>
  <si>
    <r>
      <rPr>
        <sz val="10"/>
        <color indexed="8"/>
        <rFont val="宋体"/>
        <family val="3"/>
        <charset val="134"/>
      </rPr>
      <t>人民币</t>
    </r>
  </si>
  <si>
    <r>
      <rPr>
        <sz val="10"/>
        <color indexed="8"/>
        <rFont val="宋体"/>
        <family val="3"/>
        <charset val="134"/>
      </rPr>
      <t>美元</t>
    </r>
  </si>
  <si>
    <r>
      <rPr>
        <sz val="10"/>
        <color indexed="8"/>
        <rFont val="宋体"/>
        <family val="3"/>
        <charset val="134"/>
      </rPr>
      <t>欧元</t>
    </r>
  </si>
  <si>
    <t>核查程序及结论 ：</t>
    <phoneticPr fontId="121" type="noConversion"/>
  </si>
  <si>
    <t>二、20XX年获取企业提供的银行对账单，结合网银明细（除保证金户、外币待核查户外，主要账户都有网银），核对了相关账户的流水记录。</t>
    <phoneticPr fontId="1" type="noConversion"/>
  </si>
  <si>
    <r>
      <rPr>
        <b/>
        <sz val="10"/>
        <color indexed="8"/>
        <rFont val="宋体"/>
        <family val="3"/>
        <charset val="134"/>
      </rPr>
      <t>币种</t>
    </r>
  </si>
  <si>
    <r>
      <rPr>
        <b/>
        <sz val="10"/>
        <color indexed="8"/>
        <rFont val="宋体"/>
        <family val="3"/>
        <charset val="134"/>
      </rPr>
      <t>帐</t>
    </r>
    <r>
      <rPr>
        <b/>
        <sz val="10"/>
        <color indexed="8"/>
        <rFont val="Times New Roman"/>
        <family val="1"/>
      </rPr>
      <t xml:space="preserve">   </t>
    </r>
    <r>
      <rPr>
        <b/>
        <sz val="10"/>
        <color indexed="8"/>
        <rFont val="宋体"/>
        <family val="3"/>
        <charset val="134"/>
      </rPr>
      <t>号</t>
    </r>
  </si>
  <si>
    <r>
      <rPr>
        <b/>
        <sz val="10"/>
        <color indexed="8"/>
        <rFont val="宋体"/>
        <family val="3"/>
        <charset val="134"/>
      </rPr>
      <t>开通网银</t>
    </r>
  </si>
  <si>
    <t xml:space="preserve">    审计人员陪同企业出纳到各开户银行获取报告期内银行交易流水，我们对所有银行交易流水（XX万元以上）与银行明细账进行双向核对，并交叉索引。在核对过程中，我们对XX万以上（含）的发生额追查至凭证后附的银行回单，查看收付款单位名称是否与账面记录一致。经详细核对报告期内银行流水发生额和余额，其均与银行明细账一致，不存在未入账或虚构的资金流水。</t>
    <phoneticPr fontId="1" type="noConversion"/>
  </si>
  <si>
    <t>一、主要账户账面发生额和银行流水核对情况表</t>
    <phoneticPr fontId="121" type="noConversion"/>
  </si>
  <si>
    <r>
      <rPr>
        <b/>
        <sz val="10"/>
        <rFont val="宋体"/>
        <family val="3"/>
        <charset val="134"/>
      </rPr>
      <t>月份</t>
    </r>
    <phoneticPr fontId="1" type="noConversion"/>
  </si>
  <si>
    <r>
      <rPr>
        <b/>
        <sz val="10"/>
        <rFont val="宋体"/>
        <family val="3"/>
        <charset val="134"/>
      </rPr>
      <t>银行</t>
    </r>
    <phoneticPr fontId="1" type="noConversion"/>
  </si>
  <si>
    <r>
      <rPr>
        <b/>
        <sz val="10"/>
        <rFont val="宋体"/>
        <family val="3"/>
        <charset val="134"/>
      </rPr>
      <t>账户号</t>
    </r>
    <phoneticPr fontId="1" type="noConversion"/>
  </si>
  <si>
    <r>
      <rPr>
        <b/>
        <sz val="10"/>
        <rFont val="宋体"/>
        <family val="3"/>
        <charset val="134"/>
      </rPr>
      <t>账面借方</t>
    </r>
    <phoneticPr fontId="1" type="noConversion"/>
  </si>
  <si>
    <r>
      <rPr>
        <b/>
        <sz val="10"/>
        <rFont val="宋体"/>
        <family val="3"/>
        <charset val="134"/>
      </rPr>
      <t>流水贷方</t>
    </r>
    <phoneticPr fontId="1" type="noConversion"/>
  </si>
  <si>
    <r>
      <rPr>
        <b/>
        <sz val="10"/>
        <rFont val="宋体"/>
        <family val="3"/>
        <charset val="134"/>
      </rPr>
      <t>差异</t>
    </r>
    <phoneticPr fontId="1" type="noConversion"/>
  </si>
  <si>
    <r>
      <rPr>
        <b/>
        <sz val="10"/>
        <rFont val="宋体"/>
        <family val="3"/>
        <charset val="134"/>
      </rPr>
      <t>账面贷方</t>
    </r>
    <phoneticPr fontId="1" type="noConversion"/>
  </si>
  <si>
    <r>
      <rPr>
        <b/>
        <sz val="10"/>
        <rFont val="宋体"/>
        <family val="3"/>
        <charset val="134"/>
      </rPr>
      <t>流水借方</t>
    </r>
    <phoneticPr fontId="1" type="noConversion"/>
  </si>
  <si>
    <r>
      <rPr>
        <b/>
        <sz val="10"/>
        <rFont val="宋体"/>
        <family val="3"/>
        <charset val="134"/>
      </rPr>
      <t>期初</t>
    </r>
    <phoneticPr fontId="1" type="noConversion"/>
  </si>
  <si>
    <r>
      <t>1</t>
    </r>
    <r>
      <rPr>
        <sz val="10"/>
        <rFont val="宋体"/>
        <family val="3"/>
        <charset val="134"/>
      </rPr>
      <t>月</t>
    </r>
    <phoneticPr fontId="1" type="noConversion"/>
  </si>
  <si>
    <r>
      <t>2</t>
    </r>
    <r>
      <rPr>
        <sz val="10"/>
        <rFont val="宋体"/>
        <family val="3"/>
        <charset val="134"/>
      </rPr>
      <t>月</t>
    </r>
    <phoneticPr fontId="1" type="noConversion"/>
  </si>
  <si>
    <r>
      <t>3</t>
    </r>
    <r>
      <rPr>
        <sz val="10"/>
        <rFont val="宋体"/>
        <family val="3"/>
        <charset val="134"/>
      </rPr>
      <t>月</t>
    </r>
  </si>
  <si>
    <r>
      <t>4</t>
    </r>
    <r>
      <rPr>
        <sz val="10"/>
        <rFont val="宋体"/>
        <family val="3"/>
        <charset val="134"/>
      </rPr>
      <t>月</t>
    </r>
  </si>
  <si>
    <r>
      <t>5</t>
    </r>
    <r>
      <rPr>
        <sz val="10"/>
        <rFont val="宋体"/>
        <family val="3"/>
        <charset val="134"/>
      </rPr>
      <t>月</t>
    </r>
  </si>
  <si>
    <r>
      <t>6</t>
    </r>
    <r>
      <rPr>
        <sz val="10"/>
        <rFont val="宋体"/>
        <family val="3"/>
        <charset val="134"/>
      </rPr>
      <t>月</t>
    </r>
  </si>
  <si>
    <r>
      <t>7</t>
    </r>
    <r>
      <rPr>
        <sz val="10"/>
        <rFont val="宋体"/>
        <family val="3"/>
        <charset val="134"/>
      </rPr>
      <t>月</t>
    </r>
  </si>
  <si>
    <r>
      <t>8</t>
    </r>
    <r>
      <rPr>
        <sz val="10"/>
        <rFont val="宋体"/>
        <family val="3"/>
        <charset val="134"/>
      </rPr>
      <t>月</t>
    </r>
  </si>
  <si>
    <r>
      <t>9</t>
    </r>
    <r>
      <rPr>
        <sz val="10"/>
        <rFont val="宋体"/>
        <family val="3"/>
        <charset val="134"/>
      </rPr>
      <t>月</t>
    </r>
  </si>
  <si>
    <r>
      <t>10</t>
    </r>
    <r>
      <rPr>
        <sz val="10"/>
        <rFont val="宋体"/>
        <family val="3"/>
        <charset val="134"/>
      </rPr>
      <t>月</t>
    </r>
  </si>
  <si>
    <r>
      <t>11</t>
    </r>
    <r>
      <rPr>
        <sz val="10"/>
        <rFont val="宋体"/>
        <family val="3"/>
        <charset val="134"/>
      </rPr>
      <t>月</t>
    </r>
  </si>
  <si>
    <r>
      <t>12</t>
    </r>
    <r>
      <rPr>
        <sz val="10"/>
        <rFont val="宋体"/>
        <family val="3"/>
        <charset val="134"/>
      </rPr>
      <t>月</t>
    </r>
  </si>
  <si>
    <r>
      <rPr>
        <b/>
        <sz val="10"/>
        <rFont val="宋体"/>
        <family val="3"/>
        <charset val="134"/>
      </rPr>
      <t>余额</t>
    </r>
    <phoneticPr fontId="1" type="noConversion"/>
  </si>
  <si>
    <r>
      <rPr>
        <b/>
        <sz val="10"/>
        <rFont val="宋体"/>
        <family val="3"/>
        <charset val="134"/>
      </rPr>
      <t>差异合计</t>
    </r>
    <phoneticPr fontId="1" type="noConversion"/>
  </si>
  <si>
    <t>项目</t>
    <phoneticPr fontId="121" type="noConversion"/>
  </si>
  <si>
    <t>流入情况</t>
    <phoneticPr fontId="121" type="noConversion"/>
  </si>
  <si>
    <t>流出情况</t>
    <phoneticPr fontId="121" type="noConversion"/>
  </si>
  <si>
    <r>
      <rPr>
        <sz val="10"/>
        <color theme="1"/>
        <rFont val="宋体"/>
        <family val="2"/>
      </rPr>
      <t>抽查金额合计</t>
    </r>
    <phoneticPr fontId="121" type="noConversion"/>
  </si>
  <si>
    <r>
      <rPr>
        <sz val="10"/>
        <color theme="1"/>
        <rFont val="宋体"/>
        <family val="3"/>
        <charset val="134"/>
      </rPr>
      <t>账面发生额</t>
    </r>
    <phoneticPr fontId="121" type="noConversion"/>
  </si>
  <si>
    <t>银行存款\其他货币资金发生额抽查比例</t>
    <phoneticPr fontId="121" type="noConversion"/>
  </si>
  <si>
    <t>核查结论：</t>
    <phoneticPr fontId="1" type="noConversion"/>
  </si>
  <si>
    <r>
      <t>账上每月流水与银行数据核对无误。</t>
    </r>
    <r>
      <rPr>
        <sz val="10"/>
        <color rgb="FFFF0000"/>
        <rFont val="宋体"/>
        <family val="3"/>
        <charset val="134"/>
      </rPr>
      <t>（如有异常，请说明，同时复印相关底稿）</t>
    </r>
    <phoneticPr fontId="63" type="noConversion"/>
  </si>
  <si>
    <t>说明：结合公司自身情况抽取一定比例</t>
    <phoneticPr fontId="121" type="noConversion"/>
  </si>
  <si>
    <t>备注</t>
    <phoneticPr fontId="63" type="noConversion"/>
  </si>
  <si>
    <r>
      <t>备注</t>
    </r>
    <r>
      <rPr>
        <b/>
        <sz val="8"/>
        <rFont val="宋体"/>
        <family val="3"/>
        <charset val="134"/>
      </rPr>
      <t>(有差异或异常的应解释原因)</t>
    </r>
    <phoneticPr fontId="1" type="noConversion"/>
  </si>
  <si>
    <t>银行流水</t>
    <phoneticPr fontId="121" type="noConversion"/>
  </si>
  <si>
    <t>账面记录</t>
    <phoneticPr fontId="121" type="noConversion"/>
  </si>
  <si>
    <r>
      <rPr>
        <sz val="10"/>
        <color theme="1"/>
        <rFont val="宋体"/>
        <family val="3"/>
        <charset val="134"/>
      </rPr>
      <t>主体名称</t>
    </r>
    <phoneticPr fontId="120" type="noConversion"/>
  </si>
  <si>
    <t>银行对账单日期</t>
    <phoneticPr fontId="120" type="noConversion"/>
  </si>
  <si>
    <t>银行对账单借方发生额</t>
    <phoneticPr fontId="120" type="noConversion"/>
  </si>
  <si>
    <t>银行对账单贷方发生额</t>
    <phoneticPr fontId="120" type="noConversion"/>
  </si>
  <si>
    <t>银行对账单对方户名</t>
    <phoneticPr fontId="120" type="noConversion"/>
  </si>
  <si>
    <t>记账日期</t>
    <phoneticPr fontId="120" type="noConversion"/>
  </si>
  <si>
    <t>凭证字号</t>
  </si>
  <si>
    <t>摘要</t>
  </si>
  <si>
    <t>对方公司名称</t>
    <phoneticPr fontId="121" type="noConversion"/>
  </si>
  <si>
    <t>借方金额</t>
  </si>
  <si>
    <t>贷方金额</t>
  </si>
  <si>
    <t>是否异常</t>
    <phoneticPr fontId="120" type="noConversion"/>
  </si>
  <si>
    <t>索引号</t>
    <phoneticPr fontId="120" type="noConversion"/>
  </si>
  <si>
    <t>账户小于XX万的账户</t>
    <phoneticPr fontId="120" type="noConversion"/>
  </si>
  <si>
    <r>
      <t>2</t>
    </r>
    <r>
      <rPr>
        <sz val="10"/>
        <color theme="1"/>
        <rFont val="宋体"/>
        <family val="2"/>
        <charset val="134"/>
      </rPr>
      <t>、抽取部分发生额追查至原始凭证，分析是否存在转移资金或者出借银行账户的情况，同时分析是否存在与控股股东或实际控制人互相占用资金、利用员工账户或其他个人账户进行货款收支或其他与公司业务相关的款项往来及其他异常情况。</t>
    </r>
    <phoneticPr fontId="120" type="noConversion"/>
  </si>
  <si>
    <r>
      <t>3</t>
    </r>
    <r>
      <rPr>
        <sz val="10"/>
        <color theme="1"/>
        <rFont val="宋体"/>
        <family val="3"/>
        <charset val="134"/>
      </rPr>
      <t>、结合公司情况，核对银行对账单</t>
    </r>
    <r>
      <rPr>
        <sz val="10"/>
        <color theme="1"/>
        <rFont val="Times New Roman"/>
        <family val="1"/>
      </rPr>
      <t>XX</t>
    </r>
    <r>
      <rPr>
        <sz val="10"/>
        <color theme="1"/>
        <rFont val="宋体"/>
        <family val="3"/>
        <charset val="134"/>
      </rPr>
      <t>万以上交易记录与银行日记账和记账凭证是否完整和准确时，重点检查银行对账单上交易日期、借贷方金额、对方户名（若对账单能显示对方户名）和银行日记账和记账凭证上的相关信息是否一致。</t>
    </r>
    <phoneticPr fontId="120" type="noConversion"/>
  </si>
  <si>
    <r>
      <rPr>
        <sz val="10"/>
        <color theme="1"/>
        <rFont val="宋体"/>
        <family val="3"/>
        <charset val="134"/>
      </rPr>
      <t>开户行名称：</t>
    </r>
    <r>
      <rPr>
        <sz val="10"/>
        <color theme="1"/>
        <rFont val="Times New Roman"/>
        <family val="1"/>
      </rPr>
      <t/>
    </r>
    <phoneticPr fontId="120" type="noConversion"/>
  </si>
  <si>
    <r>
      <t>a</t>
    </r>
    <r>
      <rPr>
        <sz val="10"/>
        <color theme="1"/>
        <rFont val="宋体"/>
        <family val="3"/>
        <charset val="134"/>
      </rPr>
      <t>银行</t>
    </r>
    <r>
      <rPr>
        <sz val="10"/>
        <color theme="1"/>
        <rFont val="Times New Roman"/>
        <family val="1"/>
      </rPr>
      <t>xx</t>
    </r>
    <r>
      <rPr>
        <sz val="10"/>
        <color theme="1"/>
        <rFont val="宋体"/>
        <family val="3"/>
        <charset val="134"/>
      </rPr>
      <t>支行</t>
    </r>
    <r>
      <rPr>
        <sz val="10"/>
        <color theme="1"/>
        <rFont val="Times New Roman"/>
        <family val="1"/>
      </rPr>
      <t xml:space="preserve">  XXXXXXXX</t>
    </r>
    <phoneticPr fontId="63" type="noConversion"/>
  </si>
  <si>
    <t>银行对账单
日期</t>
    <phoneticPr fontId="120" type="noConversion"/>
  </si>
  <si>
    <t>银行对账单
借方发生额</t>
    <phoneticPr fontId="120" type="noConversion"/>
  </si>
  <si>
    <t>银行对账单
贷方发生额</t>
    <phoneticPr fontId="120" type="noConversion"/>
  </si>
  <si>
    <t>银行对账单
对方户名</t>
    <phoneticPr fontId="120" type="noConversion"/>
  </si>
  <si>
    <r>
      <t>B</t>
    </r>
    <r>
      <rPr>
        <sz val="10"/>
        <color theme="1"/>
        <rFont val="宋体"/>
        <family val="3"/>
        <charset val="134"/>
      </rPr>
      <t>银行</t>
    </r>
    <r>
      <rPr>
        <sz val="10"/>
        <color theme="1"/>
        <rFont val="Times New Roman"/>
        <family val="1"/>
      </rPr>
      <t>xx</t>
    </r>
    <r>
      <rPr>
        <sz val="10"/>
        <color theme="1"/>
        <rFont val="宋体"/>
        <family val="3"/>
        <charset val="134"/>
      </rPr>
      <t>支行</t>
    </r>
    <r>
      <rPr>
        <sz val="10"/>
        <color theme="1"/>
        <rFont val="Times New Roman"/>
        <family val="1"/>
      </rPr>
      <t xml:space="preserve">  XXXXXXXX</t>
    </r>
    <phoneticPr fontId="63" type="noConversion"/>
  </si>
  <si>
    <r>
      <t>C</t>
    </r>
    <r>
      <rPr>
        <sz val="10"/>
        <color theme="1"/>
        <rFont val="宋体"/>
        <family val="3"/>
        <charset val="134"/>
      </rPr>
      <t>银行</t>
    </r>
    <r>
      <rPr>
        <sz val="10"/>
        <color theme="1"/>
        <rFont val="Times New Roman"/>
        <family val="1"/>
      </rPr>
      <t>xx</t>
    </r>
    <r>
      <rPr>
        <sz val="10"/>
        <color theme="1"/>
        <rFont val="宋体"/>
        <family val="3"/>
        <charset val="134"/>
      </rPr>
      <t>支行</t>
    </r>
    <r>
      <rPr>
        <sz val="10"/>
        <color theme="1"/>
        <rFont val="Times New Roman"/>
        <family val="1"/>
      </rPr>
      <t xml:space="preserve">  XXXXXXXX</t>
    </r>
    <phoneticPr fontId="63" type="noConversion"/>
  </si>
  <si>
    <t>账户大于XX万以上交易记录的银行流水核查</t>
    <phoneticPr fontId="120" type="noConversion"/>
  </si>
  <si>
    <r>
      <t>4</t>
    </r>
    <r>
      <rPr>
        <sz val="10"/>
        <color theme="1"/>
        <rFont val="宋体"/>
        <family val="3"/>
        <charset val="134"/>
      </rPr>
      <t>、针对</t>
    </r>
    <r>
      <rPr>
        <sz val="10"/>
        <color theme="1"/>
        <rFont val="Times New Roman"/>
        <family val="1"/>
      </rPr>
      <t>XX</t>
    </r>
    <r>
      <rPr>
        <sz val="10"/>
        <color theme="1"/>
        <rFont val="宋体"/>
        <family val="3"/>
        <charset val="134"/>
      </rPr>
      <t>万以下的交易我们采取了部分抽样的方式进行检查。</t>
    </r>
    <phoneticPr fontId="120" type="noConversion"/>
  </si>
  <si>
    <r>
      <rPr>
        <sz val="10"/>
        <color rgb="FFFF0000"/>
        <rFont val="宋体"/>
        <family val="3"/>
        <charset val="134"/>
      </rPr>
      <t>5、异常情况说明</t>
    </r>
    <r>
      <rPr>
        <sz val="10"/>
        <color theme="1"/>
        <rFont val="宋体"/>
        <family val="3"/>
        <charset val="134"/>
      </rPr>
      <t>及</t>
    </r>
    <r>
      <rPr>
        <sz val="10"/>
        <color rgb="FFFF0000"/>
        <rFont val="宋体"/>
        <family val="3"/>
        <charset val="134"/>
      </rPr>
      <t>底稿索引（如：与公司业务不相关的收付、第三方代收代付、与关联方互相占用未披露的情况或个人账户等收付货款的情况、其他异常的现金收付等）【如有异常需复印相关资料作为底稿附件】</t>
    </r>
    <phoneticPr fontId="120" type="noConversion"/>
  </si>
  <si>
    <t>银行存款\其他货币资金收支真实性检查表</t>
    <phoneticPr fontId="1" type="noConversion"/>
  </si>
  <si>
    <t>银行存款\其他货币资金收支完整性检查表</t>
    <phoneticPr fontId="1" type="noConversion"/>
  </si>
  <si>
    <t>现金流核查总体情况表</t>
    <phoneticPr fontId="1" type="noConversion"/>
  </si>
  <si>
    <t>银行账户信息取得情况表</t>
    <phoneticPr fontId="1" type="noConversion"/>
  </si>
  <si>
    <t>银行流水</t>
  </si>
  <si>
    <t>备注(如有异常请说明)</t>
    <phoneticPr fontId="120" type="noConversion"/>
  </si>
  <si>
    <r>
      <t xml:space="preserve">B </t>
    </r>
    <r>
      <rPr>
        <sz val="10"/>
        <color theme="1"/>
        <rFont val="宋体"/>
        <family val="3"/>
        <charset val="134"/>
      </rPr>
      <t>公司</t>
    </r>
    <phoneticPr fontId="121" type="noConversion"/>
  </si>
  <si>
    <r>
      <t>1</t>
    </r>
    <r>
      <rPr>
        <sz val="10"/>
        <color theme="1"/>
        <rFont val="宋体"/>
        <family val="2"/>
        <charset val="134"/>
      </rPr>
      <t>、已获取申报期内所有银行账户对账单原件，抽取检查账面金额在</t>
    </r>
    <r>
      <rPr>
        <sz val="10"/>
        <color theme="1"/>
        <rFont val="Times New Roman"/>
        <family val="1"/>
      </rPr>
      <t>XX</t>
    </r>
    <r>
      <rPr>
        <sz val="10"/>
        <color theme="1"/>
        <rFont val="宋体"/>
        <family val="2"/>
        <charset val="134"/>
      </rPr>
      <t>万以上但是银行存款收支完整性检查表</t>
    </r>
    <r>
      <rPr>
        <sz val="10"/>
        <color theme="1"/>
        <rFont val="Times New Roman"/>
        <family val="1"/>
      </rPr>
      <t>1</t>
    </r>
    <r>
      <rPr>
        <sz val="10"/>
        <color theme="1"/>
        <rFont val="宋体"/>
        <family val="2"/>
        <charset val="134"/>
      </rPr>
      <t>未包含的交易情况，并与银行流水的收支金额核对，检查所有应当记录的银行存款均为真实交易。</t>
    </r>
    <phoneticPr fontId="120" type="noConversion"/>
  </si>
  <si>
    <r>
      <t>2</t>
    </r>
    <r>
      <rPr>
        <sz val="10"/>
        <color theme="1"/>
        <rFont val="宋体"/>
        <family val="2"/>
        <charset val="134"/>
      </rPr>
      <t>、并抽取部分发生额追查至原始凭证，分析是否存在异常情况。</t>
    </r>
    <phoneticPr fontId="120" type="noConversion"/>
  </si>
  <si>
    <r>
      <rPr>
        <b/>
        <sz val="10"/>
        <color theme="1"/>
        <rFont val="宋体"/>
        <family val="3"/>
        <charset val="134"/>
      </rPr>
      <t>主体名称</t>
    </r>
    <phoneticPr fontId="120" type="noConversion"/>
  </si>
  <si>
    <r>
      <t>核查程序及结论</t>
    </r>
    <r>
      <rPr>
        <b/>
        <sz val="8"/>
        <color rgb="FFFF0000"/>
        <rFont val="宋体"/>
        <family val="3"/>
        <charset val="134"/>
      </rPr>
      <t>(如有异常需复印相关资料作为底稿附件)</t>
    </r>
    <r>
      <rPr>
        <b/>
        <sz val="10"/>
        <color indexed="8"/>
        <rFont val="宋体"/>
        <family val="3"/>
        <charset val="134"/>
      </rPr>
      <t>：</t>
    </r>
    <phoneticPr fontId="1" type="noConversion"/>
  </si>
  <si>
    <t>&lt;5017&gt;</t>
    <phoneticPr fontId="63" type="noConversion"/>
  </si>
  <si>
    <t>&lt;5017-01&gt;</t>
    <phoneticPr fontId="63" type="noConversion"/>
  </si>
  <si>
    <t>&lt;5017-02&gt;</t>
  </si>
  <si>
    <t>&lt;5017-03&gt;</t>
  </si>
  <si>
    <t>&lt;5017-04&gt;</t>
  </si>
  <si>
    <t>&lt;5017-05&gt;</t>
  </si>
  <si>
    <r>
      <t>3</t>
    </r>
    <r>
      <rPr>
        <sz val="10"/>
        <color theme="1"/>
        <rFont val="宋体"/>
        <family val="3"/>
        <charset val="134"/>
      </rPr>
      <t>、账面金额在</t>
    </r>
    <r>
      <rPr>
        <sz val="10"/>
        <color theme="1"/>
        <rFont val="Times New Roman"/>
        <family val="1"/>
      </rPr>
      <t>XX</t>
    </r>
    <r>
      <rPr>
        <sz val="10"/>
        <color theme="1"/>
        <rFont val="宋体"/>
        <family val="3"/>
        <charset val="134"/>
      </rPr>
      <t>万以上银行存款收支完整性检查表</t>
    </r>
    <r>
      <rPr>
        <sz val="10"/>
        <color theme="1"/>
        <rFont val="Times New Roman"/>
        <family val="1"/>
      </rPr>
      <t>(</t>
    </r>
    <r>
      <rPr>
        <sz val="10"/>
        <color rgb="FFFF0000"/>
        <rFont val="Times New Roman"/>
        <family val="1"/>
      </rPr>
      <t>&lt;5017-03&gt;</t>
    </r>
    <r>
      <rPr>
        <sz val="10"/>
        <color indexed="8"/>
        <rFont val="Times New Roman"/>
        <family val="1"/>
      </rPr>
      <t>)</t>
    </r>
    <r>
      <rPr>
        <sz val="10"/>
        <color indexed="8"/>
        <rFont val="宋体"/>
        <family val="3"/>
        <charset val="134"/>
      </rPr>
      <t>没有包含的情况均为企业账面一笔凭证对应多笔不满</t>
    </r>
    <r>
      <rPr>
        <sz val="10"/>
        <color indexed="8"/>
        <rFont val="Times New Roman"/>
        <family val="1"/>
      </rPr>
      <t>XX</t>
    </r>
    <r>
      <rPr>
        <sz val="10"/>
        <color indexed="8"/>
        <rFont val="宋体"/>
        <family val="3"/>
        <charset val="134"/>
      </rPr>
      <t>万流水的情况。</t>
    </r>
    <phoneticPr fontId="120" type="noConversion"/>
  </si>
  <si>
    <r>
      <t>二、抽取现金流入情况和流出情况总体情况表（</t>
    </r>
    <r>
      <rPr>
        <b/>
        <sz val="10"/>
        <color rgb="FFFF0000"/>
        <rFont val="宋体"/>
        <family val="3"/>
        <charset val="134"/>
      </rPr>
      <t>详细参见：&lt;5017-04&gt;、&lt;5017-05&gt;</t>
    </r>
    <r>
      <rPr>
        <b/>
        <sz val="10"/>
        <color theme="1"/>
        <rFont val="宋体"/>
        <family val="3"/>
        <charset val="134"/>
      </rPr>
      <t>）</t>
    </r>
    <phoneticPr fontId="121" type="noConversion"/>
  </si>
  <si>
    <r>
      <t>我们已获取从发行人及其子公司、分公司基本户的《已开立银行结算账户清单》，并与企业账务列示的银行账户核对，未见异常，银行账户的实际用途均合理。公司不存在以个人名义开立银行账户用来结算对公业务的情况。获取流水的过程参考“</t>
    </r>
    <r>
      <rPr>
        <b/>
        <sz val="10"/>
        <color rgb="FFFF0000"/>
        <rFont val="宋体"/>
        <family val="3"/>
        <charset val="134"/>
      </rPr>
      <t>流水获取情况表：&lt;5017-02&gt;</t>
    </r>
    <r>
      <rPr>
        <sz val="10"/>
        <color indexed="8"/>
        <rFont val="宋体"/>
        <family val="3"/>
        <charset val="134"/>
      </rPr>
      <t>”，资料来源可信赖。</t>
    </r>
    <phoneticPr fontId="1" type="noConversion"/>
  </si>
  <si>
    <t>[华兴]资金流水专项核查工作底稿</t>
    <phoneticPr fontId="1" type="noConversion"/>
  </si>
  <si>
    <t>[华兴]银行账户信息表</t>
    <phoneticPr fontId="1" type="noConversion"/>
  </si>
  <si>
    <t>[华兴]银行账户信息取得情况表</t>
    <phoneticPr fontId="1" type="noConversion"/>
  </si>
  <si>
    <t>[华兴]现金流核查总体情况表</t>
    <phoneticPr fontId="63" type="noConversion"/>
  </si>
  <si>
    <t>[华兴]银行存款\其他货币资金收支完整性检查表</t>
    <phoneticPr fontId="63" type="noConversion"/>
  </si>
  <si>
    <t>[华兴]银行存款\其他货币资金收支真实性检查表</t>
    <phoneticPr fontId="1" type="noConversion"/>
  </si>
  <si>
    <t>桂平市金山环保工程有限公司</t>
  </si>
  <si>
    <t>桂平金山</t>
    <phoneticPr fontId="1" type="noConversion"/>
  </si>
  <si>
    <t>是</t>
  </si>
  <si>
    <t>2021-1-1</t>
    <phoneticPr fontId="1" type="noConversion"/>
  </si>
  <si>
    <t>2021-12-31</t>
    <phoneticPr fontId="1" type="noConversion"/>
  </si>
  <si>
    <t>刘慧敏</t>
    <phoneticPr fontId="1" type="noConversion"/>
  </si>
  <si>
    <t>2022-1-19</t>
    <phoneticPr fontId="1" type="noConversion"/>
  </si>
  <si>
    <t>周敏</t>
    <phoneticPr fontId="1" type="noConversion"/>
  </si>
  <si>
    <t>2022-2-10</t>
    <phoneticPr fontId="1" type="noConversion"/>
  </si>
  <si>
    <t>已完成</t>
  </si>
  <si>
    <t>已审核</t>
  </si>
  <si>
    <t>客户:桂平金山  截止日期:2021-12-31  单位:人民币    编制:刘慧敏2022-1-19  复核:周敏2022-2-10</t>
    <phoneticPr fontId="1" type="noConversion"/>
  </si>
  <si>
    <t>客户:桂平金山  截止日期:2021-12-31  单位:人民币    编制:刘慧敏2022-1-19  复核:周敏2022-2-10</t>
    <phoneticPr fontId="63" type="noConversion"/>
  </si>
  <si>
    <r>
      <rPr>
        <b/>
        <sz val="10"/>
        <color rgb="FFFF0000"/>
        <rFont val="宋体"/>
        <family val="3"/>
        <charset val="134"/>
      </rPr>
      <t>7万</t>
    </r>
    <r>
      <rPr>
        <b/>
        <sz val="10"/>
        <rFont val="宋体"/>
        <family val="3"/>
        <charset val="134"/>
      </rPr>
      <t>以上交易记录全查及</t>
    </r>
    <r>
      <rPr>
        <b/>
        <sz val="10"/>
        <color rgb="FFFF0000"/>
        <rFont val="宋体"/>
        <family val="3"/>
        <charset val="134"/>
      </rPr>
      <t>XX金额以下的</t>
    </r>
    <r>
      <rPr>
        <b/>
        <sz val="10"/>
        <rFont val="宋体"/>
        <family val="3"/>
        <charset val="134"/>
      </rPr>
      <t>项目抽查检查情况如下：</t>
    </r>
    <phoneticPr fontId="121" type="noConversion"/>
  </si>
  <si>
    <t>中国工商银行贵港桂平新区支行</t>
  </si>
  <si>
    <t>广西桂平桂银村镇银行股份有限公司营业部（销户）</t>
  </si>
  <si>
    <t>中国银行股份有限公司桂平支行</t>
  </si>
  <si>
    <t>发行人</t>
    <phoneticPr fontId="1" type="noConversion"/>
  </si>
  <si>
    <t>广西桂平桂银村镇银行股份有限公司营业部</t>
    <phoneticPr fontId="1" type="noConversion"/>
  </si>
  <si>
    <t>2116006819100073162</t>
  </si>
  <si>
    <t>660000013703500011</t>
  </si>
  <si>
    <t>621081802839</t>
  </si>
  <si>
    <r>
      <rPr>
        <sz val="10"/>
        <rFont val="宋体"/>
        <family val="3"/>
        <charset val="134"/>
      </rPr>
      <t>基本存款账户</t>
    </r>
  </si>
  <si>
    <r>
      <rPr>
        <sz val="10"/>
        <rFont val="宋体"/>
        <family val="3"/>
        <charset val="134"/>
      </rPr>
      <t>一般存款账户</t>
    </r>
  </si>
  <si>
    <t>基本存款账户</t>
    <phoneticPr fontId="1" type="noConversion"/>
  </si>
  <si>
    <t>正常</t>
    <phoneticPr fontId="1" type="noConversion"/>
  </si>
  <si>
    <t>已执行</t>
  </si>
  <si>
    <r>
      <rPr>
        <sz val="10"/>
        <color indexed="8"/>
        <rFont val="宋体"/>
        <family val="3"/>
        <charset val="134"/>
      </rPr>
      <t>企业在申报期内根据实际经营需要开立了相关银行账户，母公司目前正常使用的账户共</t>
    </r>
    <r>
      <rPr>
        <sz val="10"/>
        <color indexed="8"/>
        <rFont val="Times New Roman"/>
        <family val="1"/>
      </rPr>
      <t>2</t>
    </r>
    <r>
      <rPr>
        <sz val="10"/>
        <color indexed="8"/>
        <rFont val="宋体"/>
        <family val="3"/>
        <charset val="134"/>
      </rPr>
      <t>个。《已开立银行结算账户清单》显示正常账户有2个，</t>
    </r>
    <r>
      <rPr>
        <sz val="10"/>
        <color rgb="FFFF0000"/>
        <rFont val="宋体"/>
        <family val="3"/>
        <charset val="134"/>
      </rPr>
      <t>差异</t>
    </r>
    <r>
      <rPr>
        <sz val="10"/>
        <color rgb="FFFF0000"/>
        <rFont val="Times New Roman"/>
        <family val="1"/>
      </rPr>
      <t>0</t>
    </r>
    <r>
      <rPr>
        <sz val="10"/>
        <color rgb="FFFF0000"/>
        <rFont val="宋体"/>
        <family val="3"/>
        <charset val="134"/>
      </rPr>
      <t>个账户。</t>
    </r>
    <phoneticPr fontId="1" type="noConversion"/>
  </si>
  <si>
    <r>
      <rPr>
        <sz val="10"/>
        <color indexed="8"/>
        <rFont val="宋体"/>
        <family val="3"/>
        <charset val="134"/>
      </rPr>
      <t>母公司申报期内客户共销户</t>
    </r>
    <r>
      <rPr>
        <sz val="10"/>
        <color indexed="8"/>
        <rFont val="Times New Roman"/>
        <family val="1"/>
      </rPr>
      <t>1</t>
    </r>
    <r>
      <rPr>
        <sz val="10"/>
        <color indexed="8"/>
        <rFont val="宋体"/>
        <family val="3"/>
        <charset val="134"/>
      </rPr>
      <t>家，销户原因主要有</t>
    </r>
    <r>
      <rPr>
        <sz val="10"/>
        <color rgb="FFFF0000"/>
        <rFont val="宋体"/>
        <family val="3"/>
        <charset val="134"/>
      </rPr>
      <t>长期未启用或者无业务往来、银行网点距离较远导致业务转移</t>
    </r>
    <r>
      <rPr>
        <sz val="10"/>
        <color indexed="8"/>
        <rFont val="宋体"/>
        <family val="3"/>
        <charset val="134"/>
      </rPr>
      <t>等。见本表第</t>
    </r>
    <r>
      <rPr>
        <sz val="10"/>
        <color indexed="8"/>
        <rFont val="Times New Roman"/>
        <family val="1"/>
      </rPr>
      <t>2</t>
    </r>
    <r>
      <rPr>
        <sz val="10"/>
        <color indexed="8"/>
        <rFont val="宋体"/>
        <family val="3"/>
        <charset val="134"/>
      </rPr>
      <t>点说明。</t>
    </r>
    <phoneticPr fontId="1" type="noConversion"/>
  </si>
  <si>
    <r>
      <rPr>
        <b/>
        <sz val="10"/>
        <rFont val="宋体"/>
        <family val="3"/>
        <charset val="134"/>
      </rPr>
      <t>一、</t>
    </r>
    <r>
      <rPr>
        <b/>
        <sz val="10"/>
        <color rgb="FFFF0000"/>
        <rFont val="Times New Roman"/>
        <family val="1"/>
      </rPr>
      <t>2021-2022</t>
    </r>
    <r>
      <rPr>
        <b/>
        <sz val="10"/>
        <rFont val="宋体"/>
        <family val="3"/>
        <charset val="134"/>
      </rPr>
      <t>年流水获取情况</t>
    </r>
    <phoneticPr fontId="1" type="noConversion"/>
  </si>
  <si>
    <t>基本户</t>
    <phoneticPr fontId="1" type="noConversion"/>
  </si>
  <si>
    <t>人民币</t>
    <phoneticPr fontId="1" type="noConversion"/>
  </si>
  <si>
    <t>中国工商银行贵港桂平新区支行</t>
    <phoneticPr fontId="63" type="noConversion"/>
  </si>
  <si>
    <t>2116006819100073162</t>
    <phoneticPr fontId="63" type="noConversion"/>
  </si>
  <si>
    <r>
      <rPr>
        <sz val="10"/>
        <color theme="1"/>
        <rFont val="宋体"/>
        <family val="1"/>
        <charset val="134"/>
      </rPr>
      <t>中国工商银行贵港桂平新区支行</t>
    </r>
    <r>
      <rPr>
        <sz val="10"/>
        <color theme="1"/>
        <rFont val="Times New Roman"/>
        <family val="1"/>
      </rPr>
      <t xml:space="preserve">  2116006819100073162</t>
    </r>
    <phoneticPr fontId="63" type="noConversion"/>
  </si>
  <si>
    <t>桂平金山</t>
    <phoneticPr fontId="63" type="noConversion"/>
  </si>
  <si>
    <t>佛山市南海瀚蓝固废处理投资有限公司</t>
  </si>
  <si>
    <t>广西桂平市城市投资发展有限公司</t>
  </si>
  <si>
    <t>瀚蓝（厦门）固废处理有限公司</t>
  </si>
  <si>
    <t>中国航空规划设计研究总院有限公司</t>
  </si>
  <si>
    <t>广西海恒电力科技有限公司</t>
  </si>
  <si>
    <t>中国能源建设集团广西电力设计研究院有限公司</t>
  </si>
  <si>
    <t>广西宇宏环保咨询有限公司</t>
  </si>
  <si>
    <t>桂平市华府家具广场</t>
  </si>
  <si>
    <t>广西电网有限责任公司贵港桂平供电局</t>
  </si>
  <si>
    <t>桂平市瑞达电子器材经营部</t>
  </si>
  <si>
    <t>广西锦玉贸易有限公司</t>
  </si>
  <si>
    <t>贵港市方盛汽车销售服务有限公司</t>
  </si>
  <si>
    <t>差额</t>
  </si>
  <si>
    <t>否</t>
    <phoneticPr fontId="63" type="noConversion"/>
  </si>
  <si>
    <t>收 收0002</t>
  </si>
  <si>
    <t>收到佛山市南海瀚蓝固废处理投资有限公司注资款</t>
  </si>
  <si>
    <t>收 收0003</t>
  </si>
  <si>
    <t>收到广西桂平市城市投资发展有限公司注资款</t>
  </si>
  <si>
    <t>收 收0001</t>
  </si>
  <si>
    <t>收到瀚蓝（厦门）固废处理有限公司往来款</t>
  </si>
  <si>
    <t>付 付0022</t>
  </si>
  <si>
    <t>村镇银行销户，余额转至工行</t>
  </si>
  <si>
    <t>付 付0019</t>
  </si>
  <si>
    <t>付中国航空规划设计研究总院有限公司/桂平项目工程设计款/BXDE127202109000027/李正强</t>
  </si>
  <si>
    <t>付 付0001</t>
  </si>
  <si>
    <t>付广西海恒电力科技有限公司/桂平市金山环保工程有限公司关于1250KVA施工用电工程施工承包合同（海恒）平移</t>
  </si>
  <si>
    <t>付 付0003</t>
  </si>
  <si>
    <t>付瀚蓝（厦门）固废处理有限公司/桂平金山关于还瀚蓝（厦门）固废处理有限公司30万往来款的付款申请/BXDE12</t>
  </si>
  <si>
    <t>付 付0023</t>
  </si>
  <si>
    <t>付中国能源建设集团广西电力设计研究院有限公司/桂平市金山环保工程有限公司关于桂平市环保生态产业园项目</t>
  </si>
  <si>
    <t>付 付0038</t>
  </si>
  <si>
    <t>付 付0013</t>
  </si>
  <si>
    <t>付广西宇宏环保咨询有限公司/桂平市金山环保工程有限公司关于生活垃圾焚烧发电项目环评技术服务合同（广西</t>
  </si>
  <si>
    <t>付 付0010</t>
  </si>
  <si>
    <t>付详见附件/桂平金山公司关于10月员工工资费用申请/BXDE127202111000017/白坤平</t>
  </si>
  <si>
    <t>付 付0007</t>
  </si>
  <si>
    <t>付详见附件/桂平金山环保公司关于2021年9月职工工资奖金发放的申请/BXDE127202110000015/杨燕</t>
  </si>
  <si>
    <t>付桂平市华府家具广场/桂平市金山环保工程有限公司关于家具销售合同（华府家具）到货款付款审批/BXDE127202</t>
  </si>
  <si>
    <t>用于薪资发放</t>
  </si>
  <si>
    <t>付 付0014</t>
  </si>
  <si>
    <t>付详见附件/关于桂平金山公司8月员工工资奖金的发放申请/BXDE127202109000026/张翠凤</t>
  </si>
  <si>
    <t>付 付0009</t>
  </si>
  <si>
    <t>付桂平市瑞达电子器材经营部/桂平市金山环保工程有限公司关于电脑及打印机采购合同（瑞达）付款审批/BXDE12</t>
  </si>
  <si>
    <t>付广西锦玉贸易有限公司/桂平市金山环保工程有限公司关于空调采购合同（广西锦玉）预付款审批/BXDE12720210</t>
  </si>
  <si>
    <t>付 付0006</t>
  </si>
  <si>
    <t>付贵港市方盛汽车销售服务有限公司/桂平市金山环保工程有限公司关于购车合约书（方盛）70%尾款付款审批/BXD</t>
  </si>
  <si>
    <t>付 付0029</t>
  </si>
  <si>
    <t>付广西电网有限责任公司贵港桂平供电局/桂平市金山环保工程有限公司关于供用电合同（供电局）第一次付款审</t>
  </si>
  <si>
    <r>
      <t>1</t>
    </r>
    <r>
      <rPr>
        <sz val="10"/>
        <color theme="1"/>
        <rFont val="宋体"/>
        <family val="2"/>
        <charset val="134"/>
      </rPr>
      <t>、已获取申报期内所有银行账户对账单原件，抽取检查各年度对账单发生额</t>
    </r>
    <r>
      <rPr>
        <sz val="10"/>
        <color rgb="FFFF0000"/>
        <rFont val="Times New Roman"/>
        <family val="1"/>
      </rPr>
      <t>7</t>
    </r>
    <r>
      <rPr>
        <sz val="10"/>
        <color theme="1"/>
        <rFont val="宋体"/>
        <family val="2"/>
        <charset val="134"/>
      </rPr>
      <t>万以上交易情况，并与银行日记账和记账凭证的收支金额核对，检查所有应当记录的银行存款均已记录。</t>
    </r>
    <phoneticPr fontId="120" type="noConversion"/>
  </si>
  <si>
    <t>桂平金山</t>
    <phoneticPr fontId="121" type="noConversion"/>
  </si>
  <si>
    <t>付 付0049</t>
  </si>
  <si>
    <t>付 付0036</t>
  </si>
  <si>
    <t>付 付0046</t>
  </si>
  <si>
    <t>付 付0050</t>
  </si>
  <si>
    <t>付 付0057</t>
  </si>
  <si>
    <t>付 付0021</t>
  </si>
  <si>
    <t>收 收0004</t>
  </si>
  <si>
    <t>收 收0005</t>
  </si>
  <si>
    <t>付中国化学工程第四建设有限公司/桂平项目土建施工总承包预付款/BXDE127202111000041/李正强</t>
  </si>
  <si>
    <t>付中航勘察设计研究院有限公司/桂平项目一桩一勘工程进度款/BXDE127202112000013/李正强</t>
  </si>
  <si>
    <t>付瀚蓝（厦门）固废处理有限公司/关于转瀚蓝厦门40万元往来款的请示/BXDE127202112000073/谢欣</t>
  </si>
  <si>
    <t>付河北恒生永筑岩土工程勘察有限公司广西分公司/桂平金山公司关于桂平市环保生态产业园生活垃圾焚烧发电项</t>
  </si>
  <si>
    <t>付河北恒生永筑岩土工程有限公司广西分公司/桂平金山公司关于桂平市环保生态产业园生活垃圾焚烧发电项目 《</t>
  </si>
  <si>
    <t>付详见附件/关于桂平金山公司2021年11月员工工资费用申请/BXDE127202112000050/白坤平</t>
  </si>
  <si>
    <t>付详见附件/桂平金山7月员工工资奖金/BXDE127202108000019/张翠凤</t>
  </si>
  <si>
    <t>收到河北恒生永筑岩土工程勘察有限公司广西分公司账号与户名不符的退汇</t>
  </si>
  <si>
    <t>账面记录073162</t>
    <phoneticPr fontId="121" type="noConversion"/>
  </si>
  <si>
    <t>江先文</t>
  </si>
  <si>
    <t>谢云俞</t>
  </si>
  <si>
    <t>符江</t>
  </si>
  <si>
    <t>余沛铭</t>
  </si>
  <si>
    <t>唐修钢</t>
  </si>
  <si>
    <t>李应喜</t>
  </si>
  <si>
    <t>冯日波</t>
  </si>
  <si>
    <t>张翠凤</t>
  </si>
  <si>
    <t>中国化学工程第四建设有限公司</t>
  </si>
  <si>
    <t>中航勘察设计研究院有限公司</t>
  </si>
  <si>
    <t>河北恒生永筑岩土工程勘察有限公司广西分公司</t>
  </si>
  <si>
    <t>河北恒生永筑岩土工程有限公司广西分公司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</si>
</sst>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 #,##0_ ;_ * \-#,##0_ ;_ * &quot;-&quot;_ ;_ @_ "/>
    <numFmt numFmtId="43" formatCode="_ * #,##0.00_ ;_ * \-#,##0.00_ ;_ * &quot;-&quot;??_ ;_ @_ "/>
    <numFmt numFmtId="176" formatCode="_ &quot;¥&quot;* #,##0.00_ ;_ &quot;¥&quot;* \-#,##0.00_ ;_ &quot;¥&quot;* &quot;-&quot;??_ ;_ @_ "/>
    <numFmt numFmtId="177" formatCode="&quot;NT$&quot;#,##0;\-&quot;NT$&quot;#,##0"/>
    <numFmt numFmtId="178" formatCode="_(* #,##0_);_(* \(#,##0\);_(* &quot;-&quot;_);_(@_)"/>
    <numFmt numFmtId="179" formatCode="_(* #,##0.00_);_(* \(#,##0.00\);_(* &quot;-&quot;??_);_(@_)"/>
    <numFmt numFmtId="180" formatCode="#,##0;\-#,##0;&quot;-&quot;"/>
    <numFmt numFmtId="181" formatCode="#,##0;\(#,##0\)"/>
    <numFmt numFmtId="182" formatCode="&quot;\&quot;#,##0;&quot;\&quot;&quot;\&quot;&quot;\&quot;&quot;\&quot;&quot;\&quot;&quot;\&quot;&quot;\&quot;&quot;\&quot;\-#,##0"/>
    <numFmt numFmtId="183" formatCode="&quot;\&quot;#,##0.00;&quot;\&quot;&quot;\&quot;&quot;\&quot;&quot;\&quot;&quot;\&quot;&quot;\&quot;&quot;\&quot;&quot;\&quot;\-#,##0.00"/>
    <numFmt numFmtId="184" formatCode="\$#,##0.00;\(\$#,##0.00\)"/>
    <numFmt numFmtId="185" formatCode="\$#,##0;\(\$#,##0\)"/>
    <numFmt numFmtId="186" formatCode="&quot;\&quot;#,##0;&quot;\&quot;&quot;\&quot;&quot;\&quot;&quot;\&quot;&quot;\&quot;&quot;\&quot;&quot;\&quot;&quot;\&quot;&quot;\&quot;&quot;\&quot;&quot;\&quot;&quot;\&quot;\-#,##0"/>
    <numFmt numFmtId="187" formatCode="_(&quot;$&quot;* #,##0_);_(&quot;$&quot;* \(#,##0\);_(&quot;$&quot;* &quot;-&quot;_);_(@_)"/>
    <numFmt numFmtId="188" formatCode="_(&quot;$&quot;* #,##0.00_);_(&quot;$&quot;* \(#,##0.00\);_(&quot;$&quot;* &quot;-&quot;??_);_(@_)"/>
    <numFmt numFmtId="189" formatCode="#,##0.00;[Red]\(#,##0.00\)"/>
    <numFmt numFmtId="190" formatCode="&quot;\&quot;#,##0;[Red]&quot;\&quot;&quot;\&quot;\-#,##0"/>
    <numFmt numFmtId="191" formatCode="&quot;\&quot;#,##0.00;[Red]&quot;\&quot;&quot;\&quot;&quot;\&quot;&quot;\&quot;&quot;\&quot;&quot;\&quot;\-#,##0.00"/>
    <numFmt numFmtId="192" formatCode="&quot;\&quot;#,##0.00;[Red]&quot;\&quot;\-#,##0.00"/>
    <numFmt numFmtId="193" formatCode="&quot;\&quot;#,##0;[Red]&quot;\&quot;\-#,##0"/>
    <numFmt numFmtId="194" formatCode="yy\.mm\.dd"/>
    <numFmt numFmtId="195" formatCode="#,##0.00_);\(#,##0.00\)"/>
    <numFmt numFmtId="196" formatCode="&quot;$&quot;#,##0.00_);[Red]&quot;\&quot;&quot;\&quot;&quot;\&quot;&quot;\&quot;&quot;\&quot;&quot;\&quot;&quot;\&quot;&quot;\&quot;&quot;\&quot;&quot;\&quot;&quot;\&quot;&quot;\&quot;&quot;\&quot;&quot;\&quot;&quot;\&quot;&quot;\&quot;&quot;\&quot;&quot;\&quot;&quot;\&quot;&quot;\&quot;&quot;\&quot;&quot;\&quot;&quot;\&quot;\(&quot;$&quot;#,##0.00&quot;\&quot;&quot;\&quot;&quot;\&quot;&quot;\&quot;&quot;\&quot;&quot;\&quot;&quot;\&quot;&quot;\&quot;&quot;\&quot;&quot;\&quot;&quot;\&quot;&quot;\&quot;&quot;\&quot;&quot;\&quot;&quot;\&quot;&quot;\&quot;&quot;\&quot;&quot;\&quot;&quot;\&quot;&quot;\&quot;&quot;\&quot;&quot;\&quot;&quot;\&quot;\)"/>
    <numFmt numFmtId="197" formatCode="&quot;\&quot;#,##0;[Red]&quot;\&quot;&quot;\&quot;&quot;\&quot;&quot;\&quot;&quot;\&quot;&quot;\&quot;&quot;\&quot;\-#,##0"/>
    <numFmt numFmtId="198" formatCode="#,##0;[Red]\(#,##0\)"/>
    <numFmt numFmtId="199" formatCode="_-* #,##0.00\ [$€-1]_-;\-* #,##0.00\ [$€-1]_-;_-* &quot;-&quot;??\ [$€-1]_-"/>
    <numFmt numFmtId="200" formatCode="_-* #,##0_-;\-* #,##0_-;_-* &quot;-&quot;_-;_-@_-"/>
    <numFmt numFmtId="201" formatCode="_-&quot;$&quot;* #,##0_-;\-&quot;$&quot;* #,##0_-;_-&quot;$&quot;* &quot;-&quot;_-;_-@_-"/>
    <numFmt numFmtId="202" formatCode="_-&quot;$&quot;* #,##0.00_-;\-&quot;$&quot;* #,##0.00_-;_-&quot;$&quot;* &quot;-&quot;??_-;_-@_-"/>
    <numFmt numFmtId="203" formatCode="yy/m/d;@"/>
    <numFmt numFmtId="204" formatCode="#,##0.00_ "/>
    <numFmt numFmtId="205" formatCode="yyyy/m/d;@"/>
  </numFmts>
  <fonts count="152">
    <font>
      <sz val="12"/>
      <name val="宋体"/>
      <charset val="134"/>
    </font>
    <font>
      <sz val="9"/>
      <name val="宋体"/>
      <family val="3"/>
      <charset val="134"/>
    </font>
    <font>
      <sz val="10"/>
      <name val="宋体"/>
      <family val="3"/>
      <charset val="134"/>
    </font>
    <font>
      <sz val="10"/>
      <name val="Times New Roman"/>
      <family val="1"/>
    </font>
    <font>
      <sz val="10"/>
      <color indexed="8"/>
      <name val="宋体"/>
      <family val="3"/>
      <charset val="134"/>
    </font>
    <font>
      <u/>
      <sz val="12"/>
      <color indexed="12"/>
      <name val="宋体"/>
      <family val="3"/>
      <charset val="134"/>
    </font>
    <font>
      <b/>
      <sz val="10"/>
      <name val="宋体"/>
      <family val="3"/>
      <charset val="134"/>
    </font>
    <font>
      <sz val="9"/>
      <name val="Times New Roman"/>
      <family val="1"/>
    </font>
    <font>
      <b/>
      <sz val="10"/>
      <name val="Times New Roman"/>
      <family val="1"/>
    </font>
    <font>
      <sz val="12"/>
      <name val="宋体"/>
      <family val="3"/>
      <charset val="134"/>
    </font>
    <font>
      <sz val="12"/>
      <name val="宋体"/>
      <family val="3"/>
      <charset val="134"/>
    </font>
    <font>
      <sz val="10"/>
      <color indexed="8"/>
      <name val="宋体"/>
      <family val="3"/>
      <charset val="134"/>
    </font>
    <font>
      <sz val="12"/>
      <name val="宋体"/>
      <family val="3"/>
      <charset val="134"/>
    </font>
    <font>
      <sz val="10"/>
      <name val="Helv"/>
      <family val="2"/>
    </font>
    <font>
      <u/>
      <sz val="12"/>
      <color indexed="12"/>
      <name val="宋体"/>
      <family val="3"/>
      <charset val="134"/>
    </font>
    <font>
      <b/>
      <sz val="12"/>
      <name val="宋体"/>
      <family val="3"/>
      <charset val="134"/>
    </font>
    <font>
      <b/>
      <i/>
      <sz val="10"/>
      <name val="Times New Roman"/>
      <family val="1"/>
    </font>
    <font>
      <sz val="12"/>
      <name val="Times New Roman"/>
      <family val="1"/>
    </font>
    <font>
      <sz val="9"/>
      <color indexed="8"/>
      <name val="Arial"/>
      <family val="2"/>
    </font>
    <font>
      <u/>
      <sz val="12"/>
      <color indexed="12"/>
      <name val="ËÎÌå"/>
      <family val="1"/>
    </font>
    <font>
      <sz val="10"/>
      <name val="Arial"/>
      <family val="2"/>
    </font>
    <font>
      <sz val="12"/>
      <name val="ÐÂ¼Ã÷ów"/>
      <family val="1"/>
    </font>
    <font>
      <sz val="12"/>
      <name val="ËÎÌå"/>
      <family val="1"/>
    </font>
    <font>
      <sz val="10"/>
      <color indexed="8"/>
      <name val="Arial"/>
      <family val="2"/>
    </font>
    <font>
      <b/>
      <sz val="10"/>
      <color indexed="9"/>
      <name val="Arial"/>
      <family val="2"/>
    </font>
    <font>
      <b/>
      <sz val="8"/>
      <color indexed="9"/>
      <name val="Arial"/>
      <family val="2"/>
    </font>
    <font>
      <b/>
      <sz val="8"/>
      <color indexed="8"/>
      <name val="Arial"/>
      <family val="2"/>
    </font>
    <font>
      <b/>
      <sz val="8"/>
      <color indexed="8"/>
      <name val="Courier New"/>
      <family val="3"/>
    </font>
    <font>
      <sz val="10"/>
      <name val="MS Sans Serif"/>
      <family val="2"/>
    </font>
    <font>
      <sz val="12"/>
      <name val="Tms Rmn"/>
      <family val="1"/>
    </font>
    <font>
      <sz val="8"/>
      <name val="Arial"/>
      <family val="2"/>
    </font>
    <font>
      <b/>
      <sz val="12"/>
      <name val="Arial"/>
      <family val="2"/>
    </font>
    <font>
      <b/>
      <sz val="10"/>
      <color indexed="8"/>
      <name val="Arial"/>
      <family val="2"/>
    </font>
    <font>
      <sz val="7"/>
      <name val="Small Fonts"/>
      <family val="2"/>
    </font>
    <font>
      <b/>
      <i/>
      <sz val="10"/>
      <color indexed="8"/>
      <name val="Arial"/>
      <family val="2"/>
    </font>
    <font>
      <b/>
      <sz val="10"/>
      <color indexed="17"/>
      <name val="Arial"/>
      <family val="2"/>
    </font>
    <font>
      <b/>
      <sz val="10"/>
      <color indexed="13"/>
      <name val="Arial"/>
      <family val="2"/>
    </font>
    <font>
      <b/>
      <sz val="12"/>
      <color indexed="8"/>
      <name val="Arial"/>
      <family val="2"/>
    </font>
    <font>
      <sz val="8"/>
      <color indexed="16"/>
      <name val="Century Schoolbook"/>
      <family val="1"/>
    </font>
    <font>
      <sz val="8"/>
      <color indexed="8"/>
      <name val="Arial"/>
      <family val="2"/>
    </font>
    <font>
      <sz val="8"/>
      <color indexed="12"/>
      <name val="Arial"/>
      <family val="2"/>
    </font>
    <font>
      <u val="singleAccounting"/>
      <sz val="10"/>
      <name val="Times New Roman"/>
      <family val="1"/>
    </font>
    <font>
      <b/>
      <sz val="9"/>
      <name val="Times New Roman"/>
      <family val="1"/>
    </font>
    <font>
      <sz val="8"/>
      <color indexed="8"/>
      <name val="Wingdings"/>
      <charset val="2"/>
    </font>
    <font>
      <sz val="11"/>
      <name val="明朝"/>
      <charset val="134"/>
    </font>
    <font>
      <sz val="10"/>
      <name val="Arial Narrow"/>
      <family val="2"/>
    </font>
    <font>
      <sz val="14"/>
      <name val="柧挬"/>
      <charset val="134"/>
    </font>
    <font>
      <b/>
      <sz val="14"/>
      <name val="楷体"/>
      <family val="3"/>
      <charset val="134"/>
    </font>
    <font>
      <sz val="8"/>
      <name val="Century Schoolbook"/>
      <family val="1"/>
    </font>
    <font>
      <sz val="10"/>
      <name val="楷体"/>
      <family val="3"/>
      <charset val="134"/>
    </font>
    <font>
      <sz val="10"/>
      <name val="Geneva"/>
      <family val="2"/>
    </font>
    <font>
      <u/>
      <sz val="12"/>
      <color indexed="36"/>
      <name val="宋体"/>
      <family val="3"/>
      <charset val="134"/>
    </font>
    <font>
      <sz val="12"/>
      <name val="官帕眉"/>
      <charset val="134"/>
    </font>
    <font>
      <sz val="10"/>
      <name val="奔覆眉"/>
      <charset val="134"/>
    </font>
    <font>
      <sz val="12"/>
      <name val="柧挬"/>
      <charset val="134"/>
    </font>
    <font>
      <sz val="11"/>
      <name val="ＭＳ Ｐゴシック"/>
      <family val="2"/>
      <charset val="134"/>
    </font>
    <font>
      <sz val="12"/>
      <name val="바탕체"/>
      <family val="3"/>
    </font>
    <font>
      <b/>
      <sz val="12"/>
      <name val="宋体"/>
      <family val="3"/>
      <charset val="134"/>
    </font>
    <font>
      <sz val="10"/>
      <name val="宋体"/>
      <family val="3"/>
      <charset val="134"/>
    </font>
    <font>
      <b/>
      <sz val="10"/>
      <color indexed="8"/>
      <name val="宋体"/>
      <family val="3"/>
      <charset val="134"/>
    </font>
    <font>
      <b/>
      <sz val="10"/>
      <name val="宋体"/>
      <family val="3"/>
      <charset val="134"/>
    </font>
    <font>
      <sz val="10"/>
      <color indexed="8"/>
      <name val="宋体"/>
      <family val="3"/>
      <charset val="134"/>
    </font>
    <font>
      <sz val="12"/>
      <name val="宋体"/>
      <family val="3"/>
      <charset val="134"/>
    </font>
    <font>
      <sz val="9"/>
      <name val="宋体"/>
      <family val="3"/>
      <charset val="134"/>
    </font>
    <font>
      <u/>
      <sz val="12"/>
      <color indexed="12"/>
      <name val="宋体"/>
      <family val="3"/>
      <charset val="134"/>
    </font>
    <font>
      <sz val="12"/>
      <color indexed="9"/>
      <name val="宋体"/>
      <family val="3"/>
      <charset val="134"/>
    </font>
    <font>
      <sz val="12"/>
      <color indexed="8"/>
      <name val="宋体"/>
      <family val="3"/>
      <charset val="134"/>
    </font>
    <font>
      <u val="singleAccounting"/>
      <sz val="10"/>
      <name val="宋体"/>
      <family val="3"/>
      <charset val="134"/>
    </font>
    <font>
      <b/>
      <sz val="10"/>
      <name val="Helv"/>
      <family val="2"/>
    </font>
    <font>
      <b/>
      <sz val="8"/>
      <name val="Arial"/>
      <family val="2"/>
    </font>
    <font>
      <b/>
      <sz val="12"/>
      <name val="Helv"/>
      <family val="2"/>
    </font>
    <font>
      <b/>
      <sz val="11"/>
      <name val="Helv"/>
      <family val="2"/>
    </font>
    <font>
      <sz val="10"/>
      <color indexed="8"/>
      <name val="MS Sans Serif"/>
      <family val="2"/>
    </font>
    <font>
      <sz val="12"/>
      <name val="灿砰"/>
      <charset val="134"/>
    </font>
    <font>
      <sz val="11"/>
      <color indexed="8"/>
      <name val="宋体"/>
      <family val="3"/>
      <charset val="134"/>
    </font>
    <font>
      <b/>
      <sz val="18"/>
      <color indexed="62"/>
      <name val="宋体"/>
      <family val="3"/>
      <charset val="134"/>
    </font>
    <font>
      <sz val="12"/>
      <color indexed="20"/>
      <name val="宋体"/>
      <family val="3"/>
      <charset val="134"/>
    </font>
    <font>
      <sz val="10"/>
      <color indexed="20"/>
      <name val="Arial Narrow"/>
      <family val="2"/>
    </font>
    <font>
      <sz val="11"/>
      <color indexed="20"/>
      <name val="宋体"/>
      <family val="3"/>
      <charset val="134"/>
    </font>
    <font>
      <sz val="12"/>
      <color indexed="17"/>
      <name val="宋体"/>
      <family val="3"/>
      <charset val="134"/>
    </font>
    <font>
      <sz val="10"/>
      <color indexed="17"/>
      <name val="Arial Narrow"/>
      <family val="2"/>
    </font>
    <font>
      <sz val="11"/>
      <color indexed="17"/>
      <name val="宋体"/>
      <family val="3"/>
      <charset val="134"/>
    </font>
    <font>
      <u/>
      <sz val="12"/>
      <color indexed="20"/>
      <name val="宋体"/>
      <family val="3"/>
      <charset val="134"/>
    </font>
    <font>
      <b/>
      <sz val="11"/>
      <color indexed="8"/>
      <name val="宋体"/>
      <family val="3"/>
      <charset val="134"/>
    </font>
    <font>
      <b/>
      <sz val="12"/>
      <color indexed="8"/>
      <name val="宋体"/>
      <family val="3"/>
      <charset val="134"/>
    </font>
    <font>
      <u val="singleAccounting"/>
      <sz val="10"/>
      <name val="Arial"/>
      <family val="2"/>
    </font>
    <font>
      <sz val="12"/>
      <name val="新細明體"/>
      <family val="1"/>
      <charset val="136"/>
    </font>
    <font>
      <sz val="10"/>
      <color indexed="8"/>
      <name val="Times New Roman"/>
      <family val="1"/>
    </font>
    <font>
      <b/>
      <sz val="18"/>
      <name val="宋体"/>
      <family val="3"/>
      <charset val="134"/>
    </font>
    <font>
      <u/>
      <sz val="10"/>
      <color indexed="8"/>
      <name val="宋体"/>
      <family val="3"/>
      <charset val="134"/>
    </font>
    <font>
      <b/>
      <sz val="10"/>
      <color indexed="10"/>
      <name val="Times New Roman"/>
      <family val="1"/>
    </font>
    <font>
      <b/>
      <sz val="10"/>
      <color indexed="10"/>
      <name val="Symbol"/>
      <family val="1"/>
      <charset val="2"/>
    </font>
    <font>
      <b/>
      <sz val="10"/>
      <color indexed="10"/>
      <name val="宋体"/>
      <family val="3"/>
      <charset val="134"/>
    </font>
    <font>
      <sz val="9"/>
      <color indexed="81"/>
      <name val="Tahoma"/>
      <family val="2"/>
    </font>
    <font>
      <sz val="9"/>
      <color indexed="81"/>
      <name val="宋体"/>
      <family val="3"/>
      <charset val="134"/>
    </font>
    <font>
      <sz val="8"/>
      <name val="宋体"/>
      <family val="3"/>
      <charset val="134"/>
    </font>
    <font>
      <sz val="10"/>
      <color indexed="62"/>
      <name val="Times New Roman"/>
      <family val="1"/>
    </font>
    <font>
      <b/>
      <sz val="10"/>
      <name val="隶书"/>
      <family val="3"/>
      <charset val="134"/>
    </font>
    <font>
      <b/>
      <sz val="10"/>
      <color indexed="8"/>
      <name val="Times New Roman"/>
      <family val="1"/>
    </font>
    <font>
      <b/>
      <sz val="18"/>
      <name val="隶书"/>
      <family val="3"/>
      <charset val="134"/>
    </font>
    <font>
      <sz val="10"/>
      <color rgb="FF002060"/>
      <name val="宋体"/>
      <family val="3"/>
      <charset val="134"/>
    </font>
    <font>
      <u/>
      <sz val="8"/>
      <name val="宋体"/>
      <family val="3"/>
      <charset val="134"/>
      <scheme val="minor"/>
    </font>
    <font>
      <b/>
      <sz val="22"/>
      <color rgb="FF002060"/>
      <name val="隶书"/>
      <family val="3"/>
      <charset val="134"/>
    </font>
    <font>
      <sz val="10"/>
      <color rgb="FFFF0000"/>
      <name val="宋体"/>
      <family val="3"/>
      <charset val="134"/>
    </font>
    <font>
      <u/>
      <sz val="10"/>
      <color rgb="FF002060"/>
      <name val="宋体"/>
      <family val="3"/>
      <charset val="134"/>
    </font>
    <font>
      <sz val="10"/>
      <color rgb="FFFF0000"/>
      <name val="Times New Roman"/>
      <family val="1"/>
    </font>
    <font>
      <sz val="10"/>
      <name val="宋体"/>
      <family val="3"/>
      <charset val="134"/>
      <scheme val="minor"/>
    </font>
    <font>
      <b/>
      <sz val="10"/>
      <color indexed="10"/>
      <name val="宋体"/>
      <family val="3"/>
      <charset val="134"/>
      <scheme val="minor"/>
    </font>
    <font>
      <b/>
      <sz val="10"/>
      <name val="宋体"/>
      <family val="3"/>
      <charset val="134"/>
      <scheme val="minor"/>
    </font>
    <font>
      <b/>
      <sz val="10"/>
      <color rgb="FF002060"/>
      <name val="宋体"/>
      <family val="3"/>
      <charset val="134"/>
    </font>
    <font>
      <b/>
      <sz val="10"/>
      <color rgb="FFFF0000"/>
      <name val="宋体"/>
      <family val="3"/>
      <charset val="134"/>
    </font>
    <font>
      <sz val="10"/>
      <color theme="0"/>
      <name val="宋体"/>
      <family val="3"/>
      <charset val="134"/>
    </font>
    <font>
      <b/>
      <sz val="10"/>
      <color rgb="FF7030A0"/>
      <name val="宋体"/>
      <family val="3"/>
      <charset val="134"/>
    </font>
    <font>
      <sz val="10"/>
      <color rgb="FF7030A0"/>
      <name val="宋体"/>
      <family val="3"/>
      <charset val="134"/>
    </font>
    <font>
      <b/>
      <sz val="16"/>
      <color rgb="FF002060"/>
      <name val="隶书"/>
      <family val="3"/>
      <charset val="134"/>
    </font>
    <font>
      <b/>
      <sz val="9"/>
      <color indexed="81"/>
      <name val="宋体"/>
      <family val="3"/>
      <charset val="134"/>
    </font>
    <font>
      <sz val="9"/>
      <color rgb="FF002060"/>
      <name val="宋体"/>
      <family val="3"/>
      <charset val="134"/>
    </font>
    <font>
      <sz val="12"/>
      <name val="宋体"/>
      <family val="3"/>
      <charset val="134"/>
    </font>
    <font>
      <sz val="10"/>
      <color theme="1"/>
      <name val="宋体"/>
      <family val="3"/>
      <charset val="134"/>
      <scheme val="minor"/>
    </font>
    <font>
      <b/>
      <sz val="10"/>
      <color theme="1"/>
      <name val="宋体"/>
      <family val="3"/>
      <charset val="134"/>
      <scheme val="minor"/>
    </font>
    <font>
      <sz val="9"/>
      <name val="宋体"/>
      <family val="2"/>
      <charset val="134"/>
      <scheme val="minor"/>
    </font>
    <font>
      <sz val="9"/>
      <name val="宋体"/>
      <family val="3"/>
      <charset val="134"/>
      <scheme val="minor"/>
    </font>
    <font>
      <sz val="10"/>
      <color theme="1"/>
      <name val="Times New Roman"/>
      <family val="1"/>
    </font>
    <font>
      <sz val="10"/>
      <color theme="1"/>
      <name val="宋体"/>
      <family val="3"/>
      <charset val="134"/>
    </font>
    <font>
      <sz val="11"/>
      <color theme="1"/>
      <name val="宋体"/>
      <family val="3"/>
      <charset val="134"/>
      <scheme val="minor"/>
    </font>
    <font>
      <sz val="9"/>
      <color rgb="FF000000"/>
      <name val="Times New Roman"/>
      <family val="1"/>
    </font>
    <font>
      <i/>
      <sz val="10"/>
      <color indexed="8"/>
      <name val="宋体"/>
      <family val="3"/>
      <charset val="134"/>
    </font>
    <font>
      <sz val="8"/>
      <color theme="1"/>
      <name val="宋体"/>
      <family val="3"/>
      <charset val="134"/>
      <scheme val="minor"/>
    </font>
    <font>
      <b/>
      <sz val="10"/>
      <color theme="1"/>
      <name val="Times New Roman"/>
      <family val="1"/>
    </font>
    <font>
      <sz val="10"/>
      <color rgb="FF000000"/>
      <name val="Times New Roman"/>
      <family val="1"/>
    </font>
    <font>
      <b/>
      <sz val="18"/>
      <color rgb="FF002060"/>
      <name val="隶书"/>
      <family val="3"/>
      <charset val="134"/>
    </font>
    <font>
      <b/>
      <sz val="10"/>
      <name val="Times New Roman"/>
      <family val="3"/>
      <charset val="134"/>
    </font>
    <font>
      <b/>
      <sz val="10"/>
      <color rgb="FFFF0000"/>
      <name val="Times New Roman"/>
      <family val="1"/>
    </font>
    <font>
      <b/>
      <sz val="10"/>
      <color rgb="FF000000"/>
      <name val="Times New Roman"/>
      <family val="1"/>
    </font>
    <font>
      <b/>
      <sz val="10"/>
      <color theme="1"/>
      <name val="宋体"/>
      <family val="3"/>
      <charset val="134"/>
    </font>
    <font>
      <sz val="10"/>
      <color theme="1"/>
      <name val="宋体"/>
      <family val="2"/>
    </font>
    <font>
      <b/>
      <sz val="8"/>
      <name val="宋体"/>
      <family val="3"/>
      <charset val="134"/>
    </font>
    <font>
      <sz val="11"/>
      <color theme="1"/>
      <name val="Times New Roman"/>
      <family val="1"/>
    </font>
    <font>
      <sz val="10"/>
      <color theme="1"/>
      <name val="宋体"/>
      <family val="2"/>
      <charset val="134"/>
    </font>
    <font>
      <sz val="10"/>
      <color theme="1"/>
      <name val="宋体"/>
      <family val="2"/>
      <charset val="134"/>
      <scheme val="minor"/>
    </font>
    <font>
      <sz val="10"/>
      <color rgb="FFFF0000"/>
      <name val="宋体"/>
      <family val="2"/>
      <scheme val="minor"/>
    </font>
    <font>
      <sz val="10"/>
      <color theme="1"/>
      <name val="Times New Roman"/>
      <family val="3"/>
      <charset val="134"/>
    </font>
    <font>
      <sz val="9"/>
      <color theme="1"/>
      <name val="宋体"/>
      <family val="3"/>
      <charset val="134"/>
    </font>
    <font>
      <b/>
      <i/>
      <sz val="10"/>
      <color theme="1"/>
      <name val="宋体"/>
      <family val="3"/>
      <charset val="134"/>
    </font>
    <font>
      <sz val="10"/>
      <color theme="1"/>
      <name val="宋体"/>
      <family val="2"/>
      <scheme val="minor"/>
    </font>
    <font>
      <b/>
      <sz val="10"/>
      <color theme="1"/>
      <name val="宋体"/>
      <family val="2"/>
      <scheme val="minor"/>
    </font>
    <font>
      <b/>
      <sz val="8"/>
      <color theme="1"/>
      <name val="Times New Roman"/>
      <family val="1"/>
    </font>
    <font>
      <b/>
      <sz val="8"/>
      <color rgb="FFFF0000"/>
      <name val="宋体"/>
      <family val="3"/>
      <charset val="134"/>
    </font>
    <font>
      <sz val="10"/>
      <name val="宋体"/>
      <family val="1"/>
      <charset val="134"/>
    </font>
    <font>
      <sz val="10"/>
      <color theme="1"/>
      <name val="宋体"/>
      <family val="1"/>
      <charset val="134"/>
    </font>
    <font>
      <sz val="10"/>
      <color indexed="8"/>
      <name val="Times New Roman"/>
      <family val="3"/>
      <charset val="134"/>
    </font>
    <font>
      <sz val="10"/>
      <color theme="1"/>
      <name val="Times New Roman"/>
      <family val="1"/>
      <charset val="134"/>
    </font>
  </fonts>
  <fills count="42">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12"/>
      </patternFill>
    </fill>
    <fill>
      <patternFill patternType="solid">
        <fgColor indexed="9"/>
      </patternFill>
    </fill>
    <fill>
      <patternFill patternType="solid">
        <fgColor indexed="13"/>
        <bgColor indexed="64"/>
      </patternFill>
    </fill>
    <fill>
      <patternFill patternType="solid">
        <fgColor indexed="22"/>
        <bgColor indexed="64"/>
      </patternFill>
    </fill>
    <fill>
      <patternFill patternType="solid">
        <fgColor indexed="26"/>
        <bgColor indexed="64"/>
      </patternFill>
    </fill>
    <fill>
      <patternFill patternType="solid">
        <fgColor indexed="13"/>
      </patternFill>
    </fill>
    <fill>
      <patternFill patternType="solid">
        <fgColor indexed="17"/>
      </patternFill>
    </fill>
    <fill>
      <patternFill patternType="solid">
        <fgColor indexed="43"/>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9" tint="0.79998168889431442"/>
        <bgColor indexed="64"/>
      </patternFill>
    </fill>
    <fill>
      <patternFill patternType="solid">
        <fgColor rgb="FFFFFF0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5117038483843"/>
        <bgColor indexed="64"/>
      </patternFill>
    </fill>
  </fills>
  <borders count="21">
    <border>
      <left/>
      <right/>
      <top/>
      <bottom/>
      <diagonal/>
    </border>
    <border>
      <left/>
      <right/>
      <top style="hair">
        <color indexed="8"/>
      </top>
      <bottom style="hair">
        <color indexed="8"/>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444">
    <xf numFmtId="0" fontId="0" fillId="0" borderId="0"/>
    <xf numFmtId="0" fontId="13" fillId="0" borderId="0"/>
    <xf numFmtId="0" fontId="17" fillId="0" borderId="0"/>
    <xf numFmtId="0" fontId="17" fillId="0" borderId="0"/>
    <xf numFmtId="0" fontId="17" fillId="0" borderId="0"/>
    <xf numFmtId="0" fontId="13" fillId="0" borderId="0"/>
    <xf numFmtId="0" fontId="13" fillId="0" borderId="0"/>
    <xf numFmtId="0" fontId="18" fillId="0" borderId="1" applyNumberFormat="0" applyFill="0" applyAlignment="0" applyProtection="0"/>
    <xf numFmtId="0" fontId="17" fillId="0" borderId="0"/>
    <xf numFmtId="0" fontId="17" fillId="0" borderId="0"/>
    <xf numFmtId="0" fontId="17" fillId="0" borderId="0"/>
    <xf numFmtId="0" fontId="17" fillId="0" borderId="0"/>
    <xf numFmtId="177" fontId="12" fillId="0" borderId="0" applyFont="0" applyFill="0" applyBorder="0" applyAlignment="0" applyProtection="0"/>
    <xf numFmtId="0" fontId="19" fillId="0" borderId="0" applyNumberFormat="0" applyFill="0" applyBorder="0" applyAlignment="0" applyProtection="0">
      <alignment vertical="top"/>
      <protection locked="0"/>
    </xf>
    <xf numFmtId="0" fontId="20" fillId="0" borderId="0"/>
    <xf numFmtId="0" fontId="65" fillId="5" borderId="0" applyNumberFormat="0" applyBorder="0" applyAlignment="0" applyProtection="0"/>
    <xf numFmtId="0" fontId="66" fillId="6" borderId="0" applyNumberFormat="0" applyBorder="0" applyAlignment="0" applyProtection="0"/>
    <xf numFmtId="0" fontId="66" fillId="6" borderId="0" applyNumberFormat="0" applyBorder="0" applyAlignment="0" applyProtection="0"/>
    <xf numFmtId="0" fontId="65" fillId="7" borderId="0" applyNumberFormat="0" applyBorder="0" applyAlignment="0" applyProtection="0"/>
    <xf numFmtId="0" fontId="65" fillId="8" borderId="0" applyNumberFormat="0" applyBorder="0" applyAlignment="0" applyProtection="0"/>
    <xf numFmtId="0" fontId="66" fillId="9" borderId="0" applyNumberFormat="0" applyBorder="0" applyAlignment="0" applyProtection="0"/>
    <xf numFmtId="0" fontId="66" fillId="10" borderId="0" applyNumberFormat="0" applyBorder="0" applyAlignment="0" applyProtection="0"/>
    <xf numFmtId="0" fontId="65" fillId="11" borderId="0" applyNumberFormat="0" applyBorder="0" applyAlignment="0" applyProtection="0"/>
    <xf numFmtId="0" fontId="65" fillId="11" borderId="0" applyNumberFormat="0" applyBorder="0" applyAlignment="0" applyProtection="0"/>
    <xf numFmtId="0" fontId="66" fillId="9" borderId="0" applyNumberFormat="0" applyBorder="0" applyAlignment="0" applyProtection="0"/>
    <xf numFmtId="0" fontId="66" fillId="12" borderId="0" applyNumberFormat="0" applyBorder="0" applyAlignment="0" applyProtection="0"/>
    <xf numFmtId="0" fontId="65" fillId="10" borderId="0" applyNumberFormat="0" applyBorder="0" applyAlignment="0" applyProtection="0"/>
    <xf numFmtId="0" fontId="65" fillId="5" borderId="0" applyNumberFormat="0" applyBorder="0" applyAlignment="0" applyProtection="0"/>
    <xf numFmtId="0" fontId="66" fillId="6" borderId="0" applyNumberFormat="0" applyBorder="0" applyAlignment="0" applyProtection="0"/>
    <xf numFmtId="0" fontId="66" fillId="10" borderId="0" applyNumberFormat="0" applyBorder="0" applyAlignment="0" applyProtection="0"/>
    <xf numFmtId="0" fontId="65" fillId="10" borderId="0" applyNumberFormat="0" applyBorder="0" applyAlignment="0" applyProtection="0"/>
    <xf numFmtId="0" fontId="65" fillId="13" borderId="0" applyNumberFormat="0" applyBorder="0" applyAlignment="0" applyProtection="0"/>
    <xf numFmtId="0" fontId="66" fillId="14" borderId="0" applyNumberFormat="0" applyBorder="0" applyAlignment="0" applyProtection="0"/>
    <xf numFmtId="0" fontId="66" fillId="6" borderId="0" applyNumberFormat="0" applyBorder="0" applyAlignment="0" applyProtection="0"/>
    <xf numFmtId="0" fontId="65" fillId="7" borderId="0" applyNumberFormat="0" applyBorder="0" applyAlignment="0" applyProtection="0"/>
    <xf numFmtId="0" fontId="65" fillId="15" borderId="0" applyNumberFormat="0" applyBorder="0" applyAlignment="0" applyProtection="0"/>
    <xf numFmtId="0" fontId="66" fillId="9" borderId="0" applyNumberFormat="0" applyBorder="0" applyAlignment="0" applyProtection="0"/>
    <xf numFmtId="0" fontId="66" fillId="16" borderId="0" applyNumberFormat="0" applyBorder="0" applyAlignment="0" applyProtection="0"/>
    <xf numFmtId="0" fontId="65" fillId="16" borderId="0" applyNumberFormat="0" applyBorder="0" applyAlignment="0" applyProtection="0"/>
    <xf numFmtId="49" fontId="67" fillId="0" borderId="0">
      <alignment horizontal="center" vertical="center"/>
    </xf>
    <xf numFmtId="178" fontId="21" fillId="0" borderId="0" applyFont="0" applyFill="0" applyBorder="0" applyAlignment="0" applyProtection="0"/>
    <xf numFmtId="179" fontId="21" fillId="0" borderId="0" applyFont="0" applyFill="0" applyBorder="0" applyAlignment="0" applyProtection="0"/>
    <xf numFmtId="178" fontId="22" fillId="0" borderId="0" applyFont="0" applyFill="0" applyBorder="0" applyAlignment="0" applyProtection="0"/>
    <xf numFmtId="179" fontId="22" fillId="0" borderId="0" applyFont="0" applyFill="0" applyBorder="0" applyAlignment="0" applyProtection="0"/>
    <xf numFmtId="180" fontId="23" fillId="0" borderId="0" applyFill="0" applyBorder="0" applyAlignment="0"/>
    <xf numFmtId="0" fontId="68" fillId="0" borderId="0"/>
    <xf numFmtId="0" fontId="69" fillId="0" borderId="2">
      <alignment horizontal="center"/>
    </xf>
    <xf numFmtId="0" fontId="24" fillId="17" borderId="0">
      <alignment horizontal="left"/>
    </xf>
    <xf numFmtId="0" fontId="25" fillId="17" borderId="0">
      <alignment horizontal="right"/>
    </xf>
    <xf numFmtId="0" fontId="26" fillId="18" borderId="0">
      <alignment horizontal="center"/>
    </xf>
    <xf numFmtId="0" fontId="25" fillId="17" borderId="0">
      <alignment horizontal="right"/>
    </xf>
    <xf numFmtId="0" fontId="27" fillId="18" borderId="0">
      <alignment horizontal="left"/>
    </xf>
    <xf numFmtId="197" fontId="20" fillId="0" borderId="0"/>
    <xf numFmtId="197" fontId="20" fillId="0" borderId="0"/>
    <xf numFmtId="197" fontId="20" fillId="0" borderId="0"/>
    <xf numFmtId="197" fontId="20" fillId="0" borderId="0"/>
    <xf numFmtId="197" fontId="20" fillId="0" borderId="0"/>
    <xf numFmtId="197" fontId="20" fillId="0" borderId="0"/>
    <xf numFmtId="197" fontId="20" fillId="0" borderId="0"/>
    <xf numFmtId="197" fontId="20" fillId="0" borderId="0"/>
    <xf numFmtId="0" fontId="20" fillId="0" borderId="0" applyFont="0" applyFill="0" applyBorder="0" applyAlignment="0" applyProtection="0"/>
    <xf numFmtId="181" fontId="3" fillId="0" borderId="0"/>
    <xf numFmtId="0" fontId="20" fillId="0" borderId="0" applyFont="0" applyFill="0" applyBorder="0" applyAlignment="0" applyProtection="0"/>
    <xf numFmtId="198" fontId="20" fillId="0" borderId="0"/>
    <xf numFmtId="182" fontId="20" fillId="0" borderId="0" applyFont="0" applyFill="0" applyBorder="0" applyAlignment="0" applyProtection="0"/>
    <xf numFmtId="183" fontId="20" fillId="0" borderId="0" applyFont="0" applyFill="0" applyBorder="0" applyAlignment="0" applyProtection="0"/>
    <xf numFmtId="184" fontId="3" fillId="0" borderId="0"/>
    <xf numFmtId="15" fontId="28" fillId="0" borderId="0"/>
    <xf numFmtId="185" fontId="3" fillId="0" borderId="0"/>
    <xf numFmtId="0" fontId="29" fillId="0" borderId="0" applyNumberFormat="0" applyFill="0" applyBorder="0" applyAlignment="0" applyProtection="0"/>
    <xf numFmtId="0" fontId="7" fillId="0" borderId="0">
      <alignment horizontal="left"/>
    </xf>
    <xf numFmtId="0" fontId="30" fillId="19" borderId="3"/>
    <xf numFmtId="199" fontId="20" fillId="0" borderId="0" applyFont="0" applyFill="0" applyBorder="0" applyAlignment="0" applyProtection="0"/>
    <xf numFmtId="38" fontId="30" fillId="20" borderId="0" applyNumberFormat="0" applyBorder="0" applyAlignment="0" applyProtection="0"/>
    <xf numFmtId="0" fontId="70" fillId="0" borderId="0">
      <alignment horizontal="left"/>
    </xf>
    <xf numFmtId="0" fontId="31" fillId="0" borderId="4" applyNumberFormat="0" applyAlignment="0" applyProtection="0">
      <alignment horizontal="left" vertical="center"/>
    </xf>
    <xf numFmtId="0" fontId="31" fillId="0" borderId="5">
      <alignment horizontal="left" vertical="center"/>
    </xf>
    <xf numFmtId="10" fontId="30" fillId="21" borderId="3" applyNumberFormat="0" applyBorder="0" applyAlignment="0" applyProtection="0"/>
    <xf numFmtId="0" fontId="24" fillId="17" borderId="0">
      <alignment horizontal="left"/>
    </xf>
    <xf numFmtId="0" fontId="32" fillId="18" borderId="0">
      <alignment horizontal="left"/>
    </xf>
    <xf numFmtId="0" fontId="71" fillId="0" borderId="6"/>
    <xf numFmtId="0" fontId="3" fillId="0" borderId="0"/>
    <xf numFmtId="37" fontId="33" fillId="0" borderId="0"/>
    <xf numFmtId="186" fontId="20" fillId="0" borderId="0"/>
    <xf numFmtId="0" fontId="20" fillId="0" borderId="0"/>
    <xf numFmtId="0" fontId="72" fillId="0" borderId="0"/>
    <xf numFmtId="0" fontId="21" fillId="0" borderId="0"/>
    <xf numFmtId="187" fontId="21" fillId="0" borderId="0" applyFont="0" applyFill="0" applyBorder="0" applyAlignment="0" applyProtection="0"/>
    <xf numFmtId="188" fontId="21" fillId="0" borderId="0" applyFont="0" applyFill="0" applyBorder="0" applyAlignment="0" applyProtection="0"/>
    <xf numFmtId="189" fontId="23" fillId="18" borderId="0">
      <alignment horizontal="right"/>
    </xf>
    <xf numFmtId="0" fontId="34" fillId="22" borderId="0">
      <alignment horizontal="center"/>
    </xf>
    <xf numFmtId="0" fontId="24" fillId="23" borderId="0"/>
    <xf numFmtId="0" fontId="35" fillId="18" borderId="0" applyBorder="0">
      <alignment horizontal="centerContinuous"/>
    </xf>
    <xf numFmtId="0" fontId="36" fillId="23" borderId="0" applyBorder="0">
      <alignment horizontal="centerContinuous"/>
    </xf>
    <xf numFmtId="10" fontId="20" fillId="0" borderId="0" applyFont="0" applyFill="0" applyBorder="0" applyAlignment="0" applyProtection="0"/>
    <xf numFmtId="0" fontId="30" fillId="20" borderId="3"/>
    <xf numFmtId="4" fontId="7" fillId="0" borderId="0">
      <alignment horizontal="right"/>
    </xf>
    <xf numFmtId="0" fontId="32" fillId="24" borderId="0">
      <alignment horizontal="center"/>
    </xf>
    <xf numFmtId="49" fontId="37" fillId="18" borderId="0">
      <alignment horizontal="center"/>
    </xf>
    <xf numFmtId="4" fontId="38" fillId="0" borderId="0">
      <alignment horizontal="right"/>
    </xf>
    <xf numFmtId="41" fontId="3" fillId="0" borderId="0" applyFont="0" applyFill="0" applyBorder="0" applyAlignment="0" applyProtection="0"/>
    <xf numFmtId="0" fontId="25" fillId="17" borderId="0">
      <alignment horizontal="center"/>
    </xf>
    <xf numFmtId="0" fontId="25" fillId="17" borderId="0">
      <alignment horizontal="centerContinuous"/>
    </xf>
    <xf numFmtId="0" fontId="39" fillId="18" borderId="0">
      <alignment horizontal="left"/>
    </xf>
    <xf numFmtId="49" fontId="39" fillId="18" borderId="0">
      <alignment horizontal="center"/>
    </xf>
    <xf numFmtId="0" fontId="24" fillId="17" borderId="0">
      <alignment horizontal="left"/>
    </xf>
    <xf numFmtId="49" fontId="39" fillId="18" borderId="0">
      <alignment horizontal="left"/>
    </xf>
    <xf numFmtId="0" fontId="24" fillId="17" borderId="0">
      <alignment horizontal="centerContinuous"/>
    </xf>
    <xf numFmtId="0" fontId="24" fillId="17" borderId="0">
      <alignment horizontal="right"/>
    </xf>
    <xf numFmtId="49" fontId="32" fillId="18" borderId="0">
      <alignment horizontal="left"/>
    </xf>
    <xf numFmtId="0" fontId="25" fillId="17" borderId="0">
      <alignment horizontal="right"/>
    </xf>
    <xf numFmtId="0" fontId="39" fillId="4" borderId="0">
      <alignment horizontal="center"/>
    </xf>
    <xf numFmtId="0" fontId="40" fillId="4" borderId="0">
      <alignment horizontal="center"/>
    </xf>
    <xf numFmtId="0" fontId="16" fillId="0" borderId="0">
      <alignment horizontal="left"/>
    </xf>
    <xf numFmtId="178" fontId="41" fillId="0" borderId="0"/>
    <xf numFmtId="0" fontId="71" fillId="0" borderId="0"/>
    <xf numFmtId="0" fontId="20" fillId="0" borderId="0"/>
    <xf numFmtId="0" fontId="42" fillId="0" borderId="0">
      <alignment horizontal="center"/>
    </xf>
    <xf numFmtId="0" fontId="43" fillId="18" borderId="0">
      <alignment horizontal="center"/>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9" fontId="44" fillId="0" borderId="0" applyFont="0" applyFill="0" applyBorder="0" applyAlignment="0" applyProtection="0"/>
    <xf numFmtId="0" fontId="45" fillId="0" borderId="0"/>
    <xf numFmtId="200" fontId="17" fillId="0" borderId="0" applyFont="0" applyFill="0" applyBorder="0" applyAlignment="0" applyProtection="0"/>
    <xf numFmtId="9" fontId="17" fillId="0" borderId="0" applyFont="0" applyFill="0" applyBorder="0" applyAlignment="0" applyProtection="0"/>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9" fontId="62" fillId="0" borderId="0" applyFont="0" applyFill="0" applyBorder="0" applyAlignment="0" applyProtection="0"/>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9" fontId="74" fillId="0" borderId="0" applyFont="0" applyFill="0" applyBorder="0" applyAlignment="0" applyProtection="0">
      <alignment vertical="center"/>
    </xf>
    <xf numFmtId="9" fontId="74" fillId="0" borderId="0" applyFont="0" applyFill="0" applyBorder="0" applyAlignment="0" applyProtection="0">
      <alignment vertical="center"/>
    </xf>
    <xf numFmtId="9" fontId="62" fillId="0" borderId="0" applyFont="0" applyFill="0" applyBorder="0" applyAlignment="0" applyProtection="0"/>
    <xf numFmtId="9" fontId="62" fillId="0" borderId="0" applyFont="0" applyFill="0" applyBorder="0" applyAlignment="0" applyProtection="0"/>
    <xf numFmtId="9" fontId="74" fillId="0" borderId="0" applyFont="0" applyFill="0" applyBorder="0" applyAlignment="0" applyProtection="0">
      <alignment vertical="center"/>
    </xf>
    <xf numFmtId="9" fontId="62" fillId="0" borderId="0" applyFont="0" applyFill="0" applyBorder="0" applyAlignment="0" applyProtection="0"/>
    <xf numFmtId="9" fontId="62" fillId="0" borderId="0" applyFont="0" applyFill="0" applyBorder="0" applyAlignment="0" applyProtection="0">
      <alignment vertical="center"/>
    </xf>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28" fillId="0" borderId="0" applyFont="0" applyFill="0" applyBorder="0" applyAlignment="0" applyProtection="0"/>
    <xf numFmtId="9" fontId="62" fillId="0" borderId="0" applyFont="0" applyFill="0" applyBorder="0" applyAlignment="0" applyProtection="0">
      <alignment vertical="center"/>
    </xf>
    <xf numFmtId="9" fontId="74" fillId="0" borderId="0" applyFont="0" applyFill="0" applyBorder="0" applyAlignment="0" applyProtection="0">
      <alignment vertical="center"/>
    </xf>
    <xf numFmtId="9" fontId="74" fillId="0" borderId="0" applyFont="0" applyFill="0" applyBorder="0" applyAlignment="0" applyProtection="0">
      <alignment vertical="center"/>
    </xf>
    <xf numFmtId="9" fontId="74" fillId="0" borderId="0" applyFont="0" applyFill="0" applyBorder="0" applyAlignment="0" applyProtection="0">
      <alignment vertical="center"/>
    </xf>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0" fontId="46" fillId="0" borderId="0" applyFont="0" applyFill="0" applyBorder="0" applyAlignment="0" applyProtection="0"/>
    <xf numFmtId="0" fontId="46" fillId="0" borderId="0" applyFont="0" applyFill="0" applyBorder="0" applyAlignment="0" applyProtection="0"/>
    <xf numFmtId="0" fontId="20" fillId="0" borderId="7" applyNumberFormat="0" applyFill="0" applyProtection="0">
      <alignment horizontal="right"/>
    </xf>
    <xf numFmtId="0" fontId="47" fillId="0" borderId="7" applyNumberFormat="0" applyFill="0" applyProtection="0">
      <alignment horizontal="center"/>
    </xf>
    <xf numFmtId="49" fontId="74" fillId="0" borderId="0" applyNumberFormat="0">
      <alignment horizontal="center" vertical="center"/>
    </xf>
    <xf numFmtId="4" fontId="48" fillId="0" borderId="0">
      <alignment horizontal="right"/>
    </xf>
    <xf numFmtId="0" fontId="75" fillId="0" borderId="0" applyNumberFormat="0" applyFill="0" applyBorder="0" applyAlignment="0" applyProtection="0"/>
    <xf numFmtId="0" fontId="49" fillId="0" borderId="8" applyNumberFormat="0" applyFill="0" applyProtection="0">
      <alignment horizontal="center"/>
    </xf>
    <xf numFmtId="0" fontId="76" fillId="2" borderId="0" applyNumberFormat="0" applyBorder="0" applyAlignment="0" applyProtection="0">
      <alignment vertical="center"/>
    </xf>
    <xf numFmtId="0" fontId="77" fillId="2" borderId="0" applyNumberFormat="0" applyBorder="0" applyAlignment="0" applyProtection="0">
      <alignment vertical="center"/>
    </xf>
    <xf numFmtId="0" fontId="76" fillId="2" borderId="0" applyNumberFormat="0" applyBorder="0" applyAlignment="0" applyProtection="0">
      <alignment vertical="center"/>
    </xf>
    <xf numFmtId="0" fontId="76" fillId="2" borderId="0" applyNumberFormat="0" applyBorder="0" applyAlignment="0" applyProtection="0">
      <alignment vertical="center"/>
    </xf>
    <xf numFmtId="0" fontId="77" fillId="2" borderId="0" applyNumberFormat="0" applyBorder="0" applyAlignment="0" applyProtection="0">
      <alignment vertical="center"/>
    </xf>
    <xf numFmtId="0" fontId="77" fillId="2" borderId="0" applyNumberFormat="0" applyBorder="0" applyAlignment="0" applyProtection="0">
      <alignment vertical="center"/>
    </xf>
    <xf numFmtId="0" fontId="77"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7"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7"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8" fillId="2" borderId="0" applyNumberFormat="0" applyBorder="0" applyAlignment="0" applyProtection="0">
      <alignment vertical="center"/>
    </xf>
    <xf numFmtId="0" fontId="76" fillId="2" borderId="0" applyNumberFormat="0" applyBorder="0" applyAlignment="0" applyProtection="0">
      <alignment vertical="center"/>
    </xf>
    <xf numFmtId="0" fontId="76" fillId="2" borderId="0" applyNumberFormat="0" applyBorder="0" applyAlignment="0" applyProtection="0">
      <alignment vertical="center"/>
    </xf>
    <xf numFmtId="0" fontId="77" fillId="2" borderId="0" applyNumberFormat="0" applyBorder="0" applyAlignment="0" applyProtection="0">
      <alignment vertical="center"/>
    </xf>
    <xf numFmtId="0" fontId="77" fillId="2" borderId="0" applyNumberFormat="0" applyBorder="0" applyAlignment="0" applyProtection="0">
      <alignment vertical="center"/>
    </xf>
    <xf numFmtId="0" fontId="76" fillId="2" borderId="0" applyNumberFormat="0" applyBorder="0" applyAlignment="0" applyProtection="0">
      <alignment vertical="center"/>
    </xf>
    <xf numFmtId="0" fontId="76" fillId="2" borderId="0" applyNumberFormat="0" applyBorder="0" applyAlignment="0" applyProtection="0">
      <alignment vertical="center"/>
    </xf>
    <xf numFmtId="0" fontId="76" fillId="2" borderId="0" applyNumberFormat="0" applyBorder="0" applyAlignment="0" applyProtection="0">
      <alignment vertical="center"/>
    </xf>
    <xf numFmtId="0" fontId="77" fillId="2" borderId="0" applyNumberFormat="0" applyBorder="0" applyAlignment="0" applyProtection="0">
      <alignment vertical="center"/>
    </xf>
    <xf numFmtId="0" fontId="74" fillId="0" borderId="0">
      <alignment vertical="center"/>
    </xf>
    <xf numFmtId="0" fontId="62" fillId="0" borderId="0"/>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62" fillId="0" borderId="0"/>
    <xf numFmtId="0" fontId="62" fillId="0" borderId="0"/>
    <xf numFmtId="0" fontId="62" fillId="0" borderId="0"/>
    <xf numFmtId="0" fontId="62" fillId="0" borderId="0">
      <alignment vertical="center"/>
    </xf>
    <xf numFmtId="0" fontId="62" fillId="0" borderId="0">
      <alignment vertical="center"/>
    </xf>
    <xf numFmtId="0" fontId="10" fillId="0" borderId="0">
      <alignment vertical="center"/>
    </xf>
    <xf numFmtId="0" fontId="62" fillId="0" borderId="0">
      <alignment vertical="center"/>
    </xf>
    <xf numFmtId="0" fontId="62" fillId="0" borderId="0">
      <alignment vertical="center"/>
    </xf>
    <xf numFmtId="0" fontId="62" fillId="0" borderId="0">
      <alignment vertical="center"/>
    </xf>
    <xf numFmtId="0" fontId="12" fillId="0" borderId="0">
      <alignment vertical="center"/>
    </xf>
    <xf numFmtId="0" fontId="62" fillId="0" borderId="0">
      <alignment vertical="top"/>
    </xf>
    <xf numFmtId="0" fontId="62" fillId="0" borderId="0">
      <alignment vertical="top"/>
    </xf>
    <xf numFmtId="0" fontId="12" fillId="0" borderId="0"/>
    <xf numFmtId="0" fontId="62" fillId="0" borderId="0"/>
    <xf numFmtId="0" fontId="62" fillId="0" borderId="0"/>
    <xf numFmtId="0" fontId="45" fillId="0" borderId="0">
      <alignment vertical="top"/>
    </xf>
    <xf numFmtId="0" fontId="62" fillId="0" borderId="0"/>
    <xf numFmtId="0" fontId="62" fillId="0" borderId="0"/>
    <xf numFmtId="0" fontId="62" fillId="0" borderId="0"/>
    <xf numFmtId="0" fontId="62" fillId="0" borderId="0">
      <alignment vertical="center"/>
    </xf>
    <xf numFmtId="0" fontId="62" fillId="0" borderId="0">
      <alignment vertical="center"/>
    </xf>
    <xf numFmtId="0" fontId="45" fillId="0" borderId="0">
      <alignment vertical="top"/>
    </xf>
    <xf numFmtId="0" fontId="62" fillId="0" borderId="0"/>
    <xf numFmtId="0" fontId="62" fillId="0" borderId="0"/>
    <xf numFmtId="0" fontId="62" fillId="0" borderId="0">
      <alignment vertical="top"/>
    </xf>
    <xf numFmtId="0" fontId="62" fillId="0" borderId="0">
      <alignment vertical="center"/>
    </xf>
    <xf numFmtId="0" fontId="12" fillId="0" borderId="0">
      <alignment vertical="center"/>
    </xf>
    <xf numFmtId="0" fontId="62" fillId="0" borderId="0">
      <alignment vertical="center"/>
    </xf>
    <xf numFmtId="0" fontId="62" fillId="0" borderId="0">
      <alignment vertical="center"/>
    </xf>
    <xf numFmtId="0" fontId="62" fillId="0" borderId="0">
      <alignment vertical="top"/>
    </xf>
    <xf numFmtId="0" fontId="62" fillId="0" borderId="0">
      <alignment vertical="center"/>
    </xf>
    <xf numFmtId="0" fontId="62" fillId="0" borderId="0"/>
    <xf numFmtId="0" fontId="62" fillId="0" borderId="0"/>
    <xf numFmtId="0" fontId="62" fillId="0" borderId="0"/>
    <xf numFmtId="0" fontId="9" fillId="0" borderId="0"/>
    <xf numFmtId="0" fontId="62" fillId="0" borderId="0"/>
    <xf numFmtId="0" fontId="9" fillId="0" borderId="0"/>
    <xf numFmtId="0" fontId="9" fillId="0" borderId="0"/>
    <xf numFmtId="0" fontId="62" fillId="0" borderId="0">
      <alignment vertical="center"/>
    </xf>
    <xf numFmtId="0" fontId="62" fillId="0" borderId="0">
      <alignment vertical="center"/>
    </xf>
    <xf numFmtId="0" fontId="62" fillId="0" borderId="0"/>
    <xf numFmtId="0" fontId="62" fillId="0" borderId="0">
      <alignment vertical="center"/>
    </xf>
    <xf numFmtId="0" fontId="62" fillId="0" borderId="0"/>
    <xf numFmtId="0" fontId="62" fillId="0" borderId="0">
      <alignment vertical="center"/>
    </xf>
    <xf numFmtId="0" fontId="28" fillId="0" borderId="0"/>
    <xf numFmtId="0" fontId="62" fillId="0" borderId="0">
      <alignment vertical="center"/>
    </xf>
    <xf numFmtId="0" fontId="62" fillId="0" borderId="0">
      <alignment vertical="center"/>
    </xf>
    <xf numFmtId="0" fontId="62" fillId="0" borderId="0"/>
    <xf numFmtId="0" fontId="62" fillId="0" borderId="0"/>
    <xf numFmtId="0" fontId="62" fillId="0" borderId="0"/>
    <xf numFmtId="0" fontId="62" fillId="0" borderId="0"/>
    <xf numFmtId="0" fontId="62" fillId="0" borderId="0"/>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62" fillId="0" borderId="0"/>
    <xf numFmtId="0" fontId="9" fillId="0" borderId="0"/>
    <xf numFmtId="0" fontId="74" fillId="0" borderId="0">
      <alignment vertical="center"/>
    </xf>
    <xf numFmtId="0" fontId="28" fillId="0" borderId="0"/>
    <xf numFmtId="0" fontId="62" fillId="0" borderId="0"/>
    <xf numFmtId="0" fontId="62" fillId="0" borderId="0">
      <alignment vertical="center"/>
    </xf>
    <xf numFmtId="0" fontId="74" fillId="0" borderId="0">
      <alignment vertical="center"/>
    </xf>
    <xf numFmtId="0" fontId="74" fillId="0" borderId="0">
      <alignment vertical="center"/>
    </xf>
    <xf numFmtId="0" fontId="74" fillId="0" borderId="0">
      <alignment vertical="center"/>
    </xf>
    <xf numFmtId="0" fontId="62" fillId="0" borderId="0">
      <alignment vertical="center"/>
    </xf>
    <xf numFmtId="0" fontId="9" fillId="0" borderId="0"/>
    <xf numFmtId="0" fontId="9" fillId="0" borderId="0"/>
    <xf numFmtId="0" fontId="62" fillId="0" borderId="0">
      <alignment vertical="center"/>
    </xf>
    <xf numFmtId="0" fontId="9" fillId="0" borderId="0">
      <alignment vertical="center"/>
    </xf>
    <xf numFmtId="0" fontId="62" fillId="0" borderId="0"/>
    <xf numFmtId="0" fontId="20" fillId="0" borderId="0"/>
    <xf numFmtId="0" fontId="20" fillId="0" borderId="0"/>
    <xf numFmtId="0" fontId="62" fillId="0" borderId="0"/>
    <xf numFmtId="0" fontId="62" fillId="0" borderId="0">
      <alignment vertical="center"/>
    </xf>
    <xf numFmtId="0" fontId="62" fillId="0" borderId="0">
      <alignment vertical="center"/>
    </xf>
    <xf numFmtId="0" fontId="62" fillId="0" borderId="0">
      <alignment vertical="center"/>
    </xf>
    <xf numFmtId="0" fontId="74" fillId="0" borderId="0">
      <alignment vertical="center"/>
    </xf>
    <xf numFmtId="0" fontId="74" fillId="0" borderId="0">
      <alignment vertical="center"/>
    </xf>
    <xf numFmtId="0" fontId="62" fillId="0" borderId="0">
      <alignment vertical="center"/>
    </xf>
    <xf numFmtId="0" fontId="62" fillId="0" borderId="0"/>
    <xf numFmtId="0" fontId="62" fillId="0" borderId="0">
      <alignment vertical="center"/>
    </xf>
    <xf numFmtId="0" fontId="74" fillId="0" borderId="0">
      <alignment vertical="center"/>
    </xf>
    <xf numFmtId="0" fontId="62" fillId="0" borderId="0"/>
    <xf numFmtId="0" fontId="62" fillId="0" borderId="0"/>
    <xf numFmtId="0" fontId="62" fillId="0" borderId="0"/>
    <xf numFmtId="0" fontId="64"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14"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4"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15" fillId="0" borderId="0" applyNumberFormat="0" applyFill="0" applyBorder="0" applyAlignment="0" applyProtection="0"/>
    <xf numFmtId="0" fontId="15" fillId="0" borderId="0" applyNumberFormat="0" applyFill="0" applyBorder="0" applyAlignment="0" applyProtection="0"/>
    <xf numFmtId="0" fontId="79" fillId="3" borderId="0" applyNumberFormat="0" applyBorder="0" applyAlignment="0" applyProtection="0">
      <alignment vertical="center"/>
    </xf>
    <xf numFmtId="0" fontId="80" fillId="3" borderId="0" applyNumberFormat="0" applyBorder="0" applyAlignment="0" applyProtection="0">
      <alignment vertical="center"/>
    </xf>
    <xf numFmtId="0" fontId="79" fillId="3" borderId="0" applyNumberFormat="0" applyBorder="0" applyAlignment="0" applyProtection="0">
      <alignment vertical="center"/>
    </xf>
    <xf numFmtId="0" fontId="79" fillId="3" borderId="0" applyNumberFormat="0" applyBorder="0" applyAlignment="0" applyProtection="0">
      <alignment vertical="center"/>
    </xf>
    <xf numFmtId="0" fontId="80" fillId="3" borderId="0" applyNumberFormat="0" applyBorder="0" applyAlignment="0" applyProtection="0">
      <alignment vertical="center"/>
    </xf>
    <xf numFmtId="0" fontId="80" fillId="3" borderId="0" applyNumberFormat="0" applyBorder="0" applyAlignment="0" applyProtection="0">
      <alignment vertical="center"/>
    </xf>
    <xf numFmtId="0" fontId="80"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0"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0"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81" fillId="3" borderId="0" applyNumberFormat="0" applyBorder="0" applyAlignment="0" applyProtection="0">
      <alignment vertical="center"/>
    </xf>
    <xf numFmtId="0" fontId="79" fillId="3" borderId="0" applyNumberFormat="0" applyBorder="0" applyAlignment="0" applyProtection="0">
      <alignment vertical="center"/>
    </xf>
    <xf numFmtId="0" fontId="79" fillId="3" borderId="0" applyNumberFormat="0" applyBorder="0" applyAlignment="0" applyProtection="0">
      <alignment vertical="center"/>
    </xf>
    <xf numFmtId="0" fontId="80" fillId="3" borderId="0" applyNumberFormat="0" applyBorder="0" applyAlignment="0" applyProtection="0">
      <alignment vertical="center"/>
    </xf>
    <xf numFmtId="0" fontId="80" fillId="3" borderId="0" applyNumberFormat="0" applyBorder="0" applyAlignment="0" applyProtection="0">
      <alignment vertical="center"/>
    </xf>
    <xf numFmtId="0" fontId="79" fillId="3" borderId="0" applyNumberFormat="0" applyBorder="0" applyAlignment="0" applyProtection="0">
      <alignment vertical="center"/>
    </xf>
    <xf numFmtId="0" fontId="79" fillId="3" borderId="0" applyNumberFormat="0" applyBorder="0" applyAlignment="0" applyProtection="0">
      <alignment vertical="center"/>
    </xf>
    <xf numFmtId="0" fontId="79" fillId="3" borderId="0" applyNumberFormat="0" applyBorder="0" applyAlignment="0" applyProtection="0">
      <alignment vertical="center"/>
    </xf>
    <xf numFmtId="0" fontId="80" fillId="3" borderId="0" applyNumberFormat="0" applyBorder="0" applyAlignment="0" applyProtection="0">
      <alignment vertical="center"/>
    </xf>
    <xf numFmtId="4" fontId="50" fillId="0" borderId="0" applyFont="0" applyFill="0" applyBorder="0" applyAlignment="0" applyProtection="0"/>
    <xf numFmtId="41" fontId="20" fillId="0" borderId="0" applyFont="0" applyFill="0" applyBorder="0" applyAlignment="0" applyProtection="0"/>
    <xf numFmtId="0" fontId="82" fillId="0" borderId="0" applyNumberFormat="0" applyFill="0" applyBorder="0" applyAlignment="0" applyProtection="0">
      <alignment vertical="top"/>
      <protection locked="0"/>
    </xf>
    <xf numFmtId="0" fontId="82"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83" fillId="0" borderId="9" applyNumberFormat="0" applyFill="0" applyAlignment="0" applyProtection="0">
      <alignment vertical="center"/>
    </xf>
    <xf numFmtId="176" fontId="62" fillId="0" borderId="0" applyFont="0" applyFill="0" applyBorder="0" applyAlignment="0" applyProtection="0"/>
    <xf numFmtId="176" fontId="62" fillId="0" borderId="0" applyFont="0" applyFill="0" applyBorder="0" applyAlignment="0" applyProtection="0"/>
    <xf numFmtId="0" fontId="49" fillId="0" borderId="8" applyNumberFormat="0" applyFill="0" applyProtection="0">
      <alignment horizontal="left"/>
    </xf>
    <xf numFmtId="190" fontId="20" fillId="0" borderId="0" applyFont="0" applyFill="0" applyBorder="0" applyAlignment="0" applyProtection="0"/>
    <xf numFmtId="191" fontId="20" fillId="0" borderId="0" applyFont="0" applyFill="0" applyBorder="0" applyAlignment="0" applyProtection="0"/>
    <xf numFmtId="192" fontId="52" fillId="0" borderId="0" applyFont="0" applyFill="0" applyBorder="0" applyAlignment="0" applyProtection="0"/>
    <xf numFmtId="193" fontId="52" fillId="0" borderId="0" applyFont="0" applyFill="0" applyBorder="0" applyAlignment="0" applyProtection="0"/>
    <xf numFmtId="201" fontId="17" fillId="0" borderId="0" applyFont="0" applyFill="0" applyBorder="0" applyAlignment="0" applyProtection="0"/>
    <xf numFmtId="202" fontId="17" fillId="0" borderId="0" applyFont="0" applyFill="0" applyBorder="0" applyAlignment="0" applyProtection="0"/>
    <xf numFmtId="0" fontId="3" fillId="0" borderId="0"/>
    <xf numFmtId="41" fontId="3" fillId="0" borderId="0" applyFont="0" applyFill="0" applyBorder="0" applyAlignment="0" applyProtection="0"/>
    <xf numFmtId="43" fontId="3" fillId="0" borderId="0" applyFont="0" applyFill="0" applyBorder="0" applyAlignment="0" applyProtection="0"/>
    <xf numFmtId="41" fontId="20" fillId="0" borderId="0" applyFont="0" applyFill="0" applyBorder="0" applyAlignment="0" applyProtection="0"/>
    <xf numFmtId="43" fontId="20" fillId="0" borderId="0" applyFont="0" applyFill="0" applyBorder="0" applyAlignment="0" applyProtection="0"/>
    <xf numFmtId="43" fontId="74" fillId="0" borderId="0" applyFont="0" applyFill="0" applyBorder="0" applyAlignment="0" applyProtection="0">
      <alignment vertical="center"/>
    </xf>
    <xf numFmtId="188" fontId="62" fillId="0" borderId="0" applyFont="0" applyFill="0" applyBorder="0" applyAlignment="0" applyProtection="0"/>
    <xf numFmtId="188" fontId="62" fillId="0" borderId="0" applyFont="0" applyFill="0" applyBorder="0" applyAlignment="0" applyProtection="0"/>
    <xf numFmtId="43" fontId="74" fillId="0" borderId="0" applyFont="0" applyFill="0" applyBorder="0" applyAlignment="0" applyProtection="0">
      <alignment vertical="center"/>
    </xf>
    <xf numFmtId="43" fontId="74" fillId="0" borderId="0" applyFont="0" applyFill="0" applyBorder="0" applyAlignment="0" applyProtection="0">
      <alignment vertical="center"/>
    </xf>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43" fontId="12" fillId="0" borderId="0" applyFont="0" applyFill="0" applyBorder="0" applyAlignment="0" applyProtection="0">
      <alignment vertical="center"/>
    </xf>
    <xf numFmtId="43" fontId="62" fillId="0" borderId="0" applyFont="0" applyFill="0" applyBorder="0" applyAlignment="0" applyProtection="0">
      <alignment vertical="center"/>
    </xf>
    <xf numFmtId="43" fontId="12" fillId="0" borderId="0" applyFont="0" applyFill="0" applyBorder="0" applyAlignment="0" applyProtection="0">
      <alignment vertical="center"/>
    </xf>
    <xf numFmtId="43" fontId="62" fillId="0" borderId="0" applyFont="0" applyFill="0" applyBorder="0" applyAlignment="0" applyProtection="0">
      <alignment vertical="center"/>
    </xf>
    <xf numFmtId="43" fontId="12" fillId="0" borderId="0" applyFont="0" applyFill="0" applyBorder="0" applyAlignment="0" applyProtection="0">
      <alignment vertical="center"/>
    </xf>
    <xf numFmtId="43" fontId="12" fillId="0" borderId="0" applyFont="0" applyFill="0" applyBorder="0" applyAlignment="0" applyProtection="0">
      <alignment vertical="center"/>
    </xf>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43" fontId="1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9"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alignment vertical="center"/>
    </xf>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43" fontId="74" fillId="0" borderId="0" applyFont="0" applyFill="0" applyBorder="0" applyAlignment="0" applyProtection="0">
      <alignment vertical="center"/>
    </xf>
    <xf numFmtId="43" fontId="74" fillId="0" borderId="0" applyFont="0" applyFill="0" applyBorder="0" applyAlignment="0" applyProtection="0">
      <alignment vertical="center"/>
    </xf>
    <xf numFmtId="43" fontId="74" fillId="0" borderId="0" applyFont="0" applyFill="0" applyBorder="0" applyAlignment="0" applyProtection="0">
      <alignment vertical="center"/>
    </xf>
    <xf numFmtId="43" fontId="74" fillId="0" borderId="0" applyFont="0" applyFill="0" applyBorder="0" applyAlignment="0" applyProtection="0">
      <alignment vertical="center"/>
    </xf>
    <xf numFmtId="43" fontId="28" fillId="0" borderId="0" applyFont="0" applyFill="0" applyBorder="0" applyAlignment="0" applyProtection="0"/>
    <xf numFmtId="43" fontId="62" fillId="0" borderId="0" applyFont="0" applyFill="0" applyBorder="0" applyAlignment="0" applyProtection="0">
      <alignment vertical="center"/>
    </xf>
    <xf numFmtId="43" fontId="62" fillId="0" borderId="0" applyFont="0" applyFill="0" applyBorder="0" applyAlignment="0" applyProtection="0"/>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43" fontId="28"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alignment vertical="center"/>
    </xf>
    <xf numFmtId="43" fontId="28" fillId="0" borderId="0" applyFont="0" applyFill="0" applyBorder="0" applyAlignment="0" applyProtection="0"/>
    <xf numFmtId="43" fontId="62" fillId="0" borderId="0" applyFont="0" applyFill="0" applyBorder="0" applyAlignment="0" applyProtection="0">
      <alignment vertical="center"/>
    </xf>
    <xf numFmtId="43" fontId="74" fillId="0" borderId="0" applyFont="0" applyFill="0" applyBorder="0" applyAlignment="0" applyProtection="0">
      <alignment vertical="center"/>
    </xf>
    <xf numFmtId="43" fontId="74" fillId="0" borderId="0" applyFont="0" applyFill="0" applyBorder="0" applyAlignment="0" applyProtection="0">
      <alignment vertical="center"/>
    </xf>
    <xf numFmtId="43" fontId="62" fillId="0" borderId="0" applyFont="0" applyFill="0" applyBorder="0" applyAlignment="0" applyProtection="0"/>
    <xf numFmtId="43" fontId="62" fillId="0" borderId="0" applyFont="0" applyFill="0" applyBorder="0" applyAlignment="0" applyProtection="0"/>
    <xf numFmtId="43" fontId="62" fillId="0" borderId="0" applyFont="0" applyFill="0" applyBorder="0" applyAlignment="0" applyProtection="0"/>
    <xf numFmtId="43" fontId="74" fillId="0" borderId="0" applyFont="0" applyFill="0" applyBorder="0" applyAlignment="0" applyProtection="0">
      <alignment vertical="center"/>
    </xf>
    <xf numFmtId="41" fontId="74" fillId="0" borderId="0" applyFont="0" applyFill="0" applyBorder="0" applyAlignment="0" applyProtection="0">
      <alignment vertical="center"/>
    </xf>
    <xf numFmtId="41" fontId="74" fillId="0" borderId="0" applyFont="0" applyFill="0" applyBorder="0" applyAlignment="0" applyProtection="0">
      <alignment vertical="center"/>
    </xf>
    <xf numFmtId="41" fontId="74" fillId="0" borderId="0" applyFont="0" applyFill="0" applyBorder="0" applyAlignment="0" applyProtection="0">
      <alignment vertical="center"/>
    </xf>
    <xf numFmtId="0" fontId="53" fillId="0" borderId="0"/>
    <xf numFmtId="0" fontId="84" fillId="25" borderId="0" applyNumberFormat="0" applyBorder="0" applyAlignment="0" applyProtection="0"/>
    <xf numFmtId="0" fontId="84" fillId="26" borderId="0" applyNumberFormat="0" applyBorder="0" applyAlignment="0" applyProtection="0"/>
    <xf numFmtId="0" fontId="84" fillId="27" borderId="0" applyNumberFormat="0" applyBorder="0" applyAlignment="0" applyProtection="0"/>
    <xf numFmtId="194" fontId="20" fillId="0" borderId="8" applyFill="0" applyProtection="0">
      <alignment horizontal="right"/>
    </xf>
    <xf numFmtId="0" fontId="20" fillId="0" borderId="7" applyNumberFormat="0" applyFill="0" applyProtection="0">
      <alignment horizontal="left"/>
    </xf>
    <xf numFmtId="195" fontId="7" fillId="0" borderId="0" applyFill="0" applyBorder="0" applyProtection="0"/>
    <xf numFmtId="1" fontId="20" fillId="0" borderId="8" applyFill="0" applyProtection="0">
      <alignment horizontal="center"/>
    </xf>
    <xf numFmtId="188" fontId="20" fillId="0" borderId="0" applyFont="0" applyFill="0" applyBorder="0" applyAlignment="0" applyProtection="0"/>
    <xf numFmtId="196" fontId="50" fillId="0" borderId="0" applyFont="0" applyFill="0" applyBorder="0" applyAlignment="0" applyProtection="0"/>
    <xf numFmtId="0" fontId="17" fillId="0" borderId="0">
      <protection locked="0"/>
    </xf>
    <xf numFmtId="0" fontId="85" fillId="0" borderId="0">
      <alignment horizontal="center" vertical="center"/>
    </xf>
    <xf numFmtId="0" fontId="86" fillId="0" borderId="0" applyAlignment="0">
      <alignment vertical="center" wrapText="1"/>
    </xf>
    <xf numFmtId="0" fontId="54" fillId="0" borderId="0"/>
    <xf numFmtId="40" fontId="46" fillId="0" borderId="0" applyFont="0" applyFill="0" applyBorder="0" applyAlignment="0" applyProtection="0"/>
    <xf numFmtId="38" fontId="46" fillId="0" borderId="0" applyFont="0" applyFill="0" applyBorder="0" applyAlignment="0" applyProtection="0"/>
    <xf numFmtId="38" fontId="55" fillId="0" borderId="0" applyFont="0" applyFill="0" applyBorder="0" applyAlignment="0" applyProtection="0"/>
    <xf numFmtId="40" fontId="55" fillId="0" borderId="0" applyFont="0" applyFill="0" applyBorder="0" applyAlignment="0" applyProtection="0"/>
    <xf numFmtId="0" fontId="55" fillId="0" borderId="0" applyFont="0" applyFill="0" applyBorder="0" applyAlignment="0" applyProtection="0"/>
    <xf numFmtId="0" fontId="55" fillId="0" borderId="0" applyFont="0" applyFill="0" applyBorder="0" applyAlignment="0" applyProtection="0"/>
    <xf numFmtId="0" fontId="56" fillId="0" borderId="0"/>
    <xf numFmtId="43" fontId="117" fillId="0" borderId="0" applyFont="0" applyFill="0" applyBorder="0" applyAlignment="0" applyProtection="0">
      <alignment vertical="center"/>
    </xf>
    <xf numFmtId="0" fontId="74" fillId="0" borderId="0">
      <alignment vertical="center"/>
    </xf>
    <xf numFmtId="0" fontId="9" fillId="0" borderId="0"/>
    <xf numFmtId="0" fontId="9" fillId="0" borderId="0"/>
    <xf numFmtId="0" fontId="124" fillId="0" borderId="0">
      <alignment vertical="center"/>
    </xf>
  </cellStyleXfs>
  <cellXfs count="407">
    <xf numFmtId="0" fontId="0" fillId="0" borderId="0" xfId="0"/>
    <xf numFmtId="0" fontId="4" fillId="0" borderId="0" xfId="0" applyFont="1" applyFill="1" applyAlignment="1" applyProtection="1">
      <alignment vertical="center"/>
      <protection hidden="1"/>
    </xf>
    <xf numFmtId="0" fontId="61" fillId="0" borderId="0" xfId="0" applyFont="1" applyFill="1" applyAlignment="1" applyProtection="1">
      <alignment vertical="center"/>
      <protection hidden="1"/>
    </xf>
    <xf numFmtId="0" fontId="58" fillId="28" borderId="0" xfId="0" applyFont="1" applyFill="1" applyAlignment="1" applyProtection="1">
      <alignment vertical="center"/>
      <protection locked="0"/>
    </xf>
    <xf numFmtId="0" fontId="3" fillId="0" borderId="0" xfId="291" applyNumberFormat="1" applyFont="1" applyAlignment="1">
      <alignment vertical="center"/>
    </xf>
    <xf numFmtId="0" fontId="2" fillId="28" borderId="0" xfId="0" applyFont="1" applyFill="1" applyAlignment="1" applyProtection="1">
      <alignment vertical="center"/>
      <protection locked="0"/>
    </xf>
    <xf numFmtId="0" fontId="3" fillId="0" borderId="3" xfId="0" applyFont="1" applyBorder="1" applyAlignment="1">
      <alignment vertical="center"/>
    </xf>
    <xf numFmtId="0" fontId="2" fillId="0" borderId="0" xfId="0" applyNumberFormat="1" applyFont="1" applyFill="1" applyAlignment="1" applyProtection="1">
      <alignment vertical="center"/>
      <protection hidden="1"/>
    </xf>
    <xf numFmtId="0" fontId="58" fillId="0" borderId="11" xfId="0" applyNumberFormat="1" applyFont="1" applyFill="1" applyBorder="1" applyAlignment="1" applyProtection="1">
      <alignment horizontal="center" vertical="center"/>
      <protection locked="0"/>
    </xf>
    <xf numFmtId="49" fontId="58" fillId="0" borderId="3" xfId="0" applyNumberFormat="1" applyFont="1" applyFill="1" applyBorder="1" applyAlignment="1" applyProtection="1">
      <alignment horizontal="center" vertical="center"/>
      <protection locked="0"/>
    </xf>
    <xf numFmtId="0" fontId="3" fillId="0" borderId="3" xfId="291" applyNumberFormat="1" applyFont="1" applyBorder="1" applyAlignment="1">
      <alignment vertical="center"/>
    </xf>
    <xf numFmtId="0" fontId="58" fillId="0" borderId="0" xfId="0" applyFont="1" applyAlignment="1">
      <alignment vertical="center"/>
    </xf>
    <xf numFmtId="0" fontId="58" fillId="0" borderId="0" xfId="0" applyFont="1" applyAlignment="1">
      <alignment horizontal="left" vertical="center" wrapText="1" indent="1"/>
    </xf>
    <xf numFmtId="0" fontId="58" fillId="0" borderId="0" xfId="0" applyFont="1" applyAlignment="1">
      <alignment horizontal="left" vertical="center" wrapText="1"/>
    </xf>
    <xf numFmtId="0" fontId="58" fillId="0" borderId="0" xfId="0" applyFont="1" applyAlignment="1">
      <alignment vertical="center" wrapText="1"/>
    </xf>
    <xf numFmtId="0" fontId="60" fillId="0" borderId="0" xfId="0" applyFont="1" applyAlignment="1">
      <alignment vertical="center" wrapText="1"/>
    </xf>
    <xf numFmtId="0" fontId="60" fillId="0" borderId="0" xfId="0" applyFont="1" applyAlignment="1">
      <alignment horizontal="left" vertical="center" wrapText="1"/>
    </xf>
    <xf numFmtId="0" fontId="87" fillId="0" borderId="0" xfId="0" applyFont="1" applyFill="1" applyAlignment="1" applyProtection="1">
      <alignment horizontal="right" vertical="center"/>
      <protection hidden="1"/>
    </xf>
    <xf numFmtId="0" fontId="3" fillId="0" borderId="0" xfId="0" applyFont="1" applyAlignment="1">
      <alignment horizontal="right" vertical="center"/>
    </xf>
    <xf numFmtId="0" fontId="97" fillId="0" borderId="0" xfId="0" applyFont="1" applyAlignment="1">
      <alignment vertical="center"/>
    </xf>
    <xf numFmtId="0" fontId="101" fillId="0" borderId="0" xfId="295" applyFont="1" applyFill="1" applyAlignment="1" applyProtection="1">
      <alignment horizontal="center" vertical="top"/>
      <protection hidden="1"/>
    </xf>
    <xf numFmtId="49" fontId="58" fillId="0" borderId="0" xfId="0" applyNumberFormat="1" applyFont="1" applyFill="1" applyAlignment="1" applyProtection="1">
      <alignment horizontal="center" vertical="center"/>
      <protection locked="0"/>
    </xf>
    <xf numFmtId="0" fontId="58" fillId="0" borderId="0" xfId="0" applyNumberFormat="1" applyFont="1" applyFill="1" applyAlignment="1" applyProtection="1">
      <alignment horizontal="center" vertical="center"/>
      <protection locked="0"/>
    </xf>
    <xf numFmtId="49" fontId="102" fillId="0" borderId="0" xfId="0" applyNumberFormat="1" applyFont="1" applyFill="1" applyBorder="1" applyAlignment="1" applyProtection="1">
      <alignment vertical="center"/>
      <protection locked="0"/>
    </xf>
    <xf numFmtId="49" fontId="103" fillId="0" borderId="0" xfId="0" applyNumberFormat="1" applyFont="1" applyFill="1" applyAlignment="1" applyProtection="1">
      <alignment horizontal="center" vertical="center"/>
      <protection locked="0"/>
    </xf>
    <xf numFmtId="49" fontId="104" fillId="0" borderId="3" xfId="295" applyNumberFormat="1" applyFont="1" applyFill="1" applyBorder="1" applyAlignment="1" applyProtection="1">
      <alignment horizontal="center" vertical="center"/>
      <protection locked="0"/>
    </xf>
    <xf numFmtId="0" fontId="98" fillId="0" borderId="3" xfId="0" applyNumberFormat="1" applyFont="1" applyFill="1" applyBorder="1" applyAlignment="1" applyProtection="1">
      <alignment vertical="center"/>
      <protection hidden="1"/>
    </xf>
    <xf numFmtId="0" fontId="3" fillId="0" borderId="3" xfId="290" applyNumberFormat="1" applyFont="1" applyFill="1" applyBorder="1" applyAlignment="1">
      <alignment horizontal="center" vertical="center"/>
    </xf>
    <xf numFmtId="0" fontId="98" fillId="0" borderId="0" xfId="0" applyFont="1" applyFill="1" applyBorder="1" applyAlignment="1" applyProtection="1">
      <alignment vertical="center"/>
      <protection hidden="1"/>
    </xf>
    <xf numFmtId="0" fontId="98" fillId="0" borderId="0" xfId="0" applyNumberFormat="1" applyFont="1" applyFill="1" applyBorder="1" applyAlignment="1" applyProtection="1">
      <alignment vertical="center"/>
      <protection hidden="1"/>
    </xf>
    <xf numFmtId="0" fontId="3" fillId="0" borderId="0" xfId="0" applyFont="1" applyAlignment="1">
      <alignment vertical="center"/>
    </xf>
    <xf numFmtId="0" fontId="8" fillId="0" borderId="3" xfId="0" applyNumberFormat="1" applyFont="1" applyBorder="1" applyAlignment="1">
      <alignment vertical="center"/>
    </xf>
    <xf numFmtId="0" fontId="3" fillId="0" borderId="3" xfId="0" applyNumberFormat="1" applyFont="1" applyBorder="1" applyAlignment="1">
      <alignment vertical="center"/>
    </xf>
    <xf numFmtId="0" fontId="105" fillId="0" borderId="0" xfId="0" applyFont="1" applyAlignment="1">
      <alignment horizontal="right" vertical="center"/>
    </xf>
    <xf numFmtId="0" fontId="106" fillId="0" borderId="0" xfId="0" applyFont="1" applyAlignment="1">
      <alignment horizontal="left" vertical="center"/>
    </xf>
    <xf numFmtId="0" fontId="102" fillId="0" borderId="0" xfId="0" applyFont="1" applyAlignment="1" applyProtection="1">
      <alignment vertical="top"/>
    </xf>
    <xf numFmtId="0" fontId="97" fillId="0" borderId="0" xfId="0" applyFont="1" applyAlignment="1" applyProtection="1">
      <alignment vertical="center"/>
    </xf>
    <xf numFmtId="0" fontId="3" fillId="0" borderId="0" xfId="0" applyFont="1" applyAlignment="1" applyProtection="1">
      <alignment horizontal="right" vertical="center"/>
    </xf>
    <xf numFmtId="0" fontId="58" fillId="0" borderId="0" xfId="0" applyFont="1" applyAlignment="1" applyProtection="1">
      <alignment horizontal="center" vertical="center"/>
    </xf>
    <xf numFmtId="0" fontId="88" fillId="0" borderId="0" xfId="0" applyFont="1" applyAlignment="1" applyProtection="1">
      <alignment vertical="center"/>
    </xf>
    <xf numFmtId="0" fontId="60" fillId="29" borderId="0" xfId="0" applyFont="1" applyFill="1" applyAlignment="1" applyProtection="1">
      <alignment vertical="center"/>
    </xf>
    <xf numFmtId="0" fontId="60" fillId="0" borderId="0" xfId="0" applyFont="1" applyFill="1" applyBorder="1" applyAlignment="1" applyProtection="1">
      <alignment horizontal="center" vertical="center"/>
    </xf>
    <xf numFmtId="0" fontId="60" fillId="0" borderId="0" xfId="0" applyFont="1" applyAlignment="1" applyProtection="1">
      <alignment horizontal="center" vertical="center"/>
    </xf>
    <xf numFmtId="0" fontId="6" fillId="0" borderId="0" xfId="0" applyFont="1" applyAlignment="1" applyProtection="1">
      <alignment horizontal="center" vertical="center"/>
    </xf>
    <xf numFmtId="0" fontId="58" fillId="0" borderId="0" xfId="0" applyFont="1" applyFill="1" applyBorder="1" applyAlignment="1" applyProtection="1">
      <alignment horizontal="center" vertical="center"/>
    </xf>
    <xf numFmtId="0" fontId="58" fillId="0" borderId="0" xfId="0" applyFont="1" applyFill="1" applyBorder="1" applyAlignment="1" applyProtection="1">
      <alignment vertical="center"/>
    </xf>
    <xf numFmtId="0" fontId="106" fillId="0" borderId="0" xfId="0" applyFont="1" applyFill="1" applyBorder="1" applyAlignment="1" applyProtection="1">
      <alignment vertical="center"/>
    </xf>
    <xf numFmtId="0" fontId="2" fillId="0" borderId="0" xfId="0" applyFont="1" applyAlignment="1" applyProtection="1">
      <alignment horizontal="left" vertical="center"/>
    </xf>
    <xf numFmtId="0" fontId="91" fillId="0" borderId="0" xfId="272" applyFont="1" applyAlignment="1" applyProtection="1">
      <alignment horizontal="center"/>
    </xf>
    <xf numFmtId="0" fontId="2" fillId="0" borderId="0" xfId="272" applyFont="1" applyAlignment="1" applyProtection="1"/>
    <xf numFmtId="0" fontId="58" fillId="0" borderId="0" xfId="0" applyFont="1" applyAlignment="1" applyProtection="1">
      <alignment vertical="center"/>
    </xf>
    <xf numFmtId="0" fontId="90" fillId="0" borderId="0" xfId="272" applyFont="1" applyAlignment="1" applyProtection="1">
      <alignment horizontal="center"/>
    </xf>
    <xf numFmtId="0" fontId="2" fillId="0" borderId="0" xfId="0" applyFont="1" applyFill="1" applyAlignment="1" applyProtection="1">
      <alignment vertical="center"/>
    </xf>
    <xf numFmtId="0" fontId="106" fillId="0" borderId="0" xfId="0" applyFont="1" applyAlignment="1" applyProtection="1">
      <alignment horizontal="left" vertical="center"/>
    </xf>
    <xf numFmtId="0" fontId="106" fillId="0" borderId="0" xfId="0" applyFont="1" applyFill="1" applyAlignment="1" applyProtection="1">
      <alignment vertical="center"/>
    </xf>
    <xf numFmtId="0" fontId="107" fillId="0" borderId="0" xfId="272" applyFont="1" applyAlignment="1" applyProtection="1">
      <alignment horizontal="center"/>
    </xf>
    <xf numFmtId="0" fontId="106" fillId="0" borderId="0" xfId="272" applyFont="1" applyAlignment="1" applyProtection="1"/>
    <xf numFmtId="0" fontId="106" fillId="0" borderId="0" xfId="0" applyFont="1" applyAlignment="1" applyProtection="1">
      <alignment horizontal="center" vertical="center"/>
    </xf>
    <xf numFmtId="0" fontId="58" fillId="0" borderId="0" xfId="0" applyFont="1" applyAlignment="1" applyProtection="1">
      <alignment horizontal="left" vertical="center"/>
    </xf>
    <xf numFmtId="0" fontId="58" fillId="0" borderId="0" xfId="0" applyFont="1" applyFill="1" applyAlignment="1" applyProtection="1">
      <alignment horizontal="left" vertical="center"/>
    </xf>
    <xf numFmtId="0" fontId="106" fillId="0" borderId="0" xfId="0" applyFont="1" applyFill="1" applyBorder="1" applyAlignment="1" applyProtection="1">
      <alignment horizontal="center" vertical="center"/>
    </xf>
    <xf numFmtId="0" fontId="58" fillId="0" borderId="0" xfId="0" applyFont="1" applyFill="1" applyAlignment="1" applyProtection="1">
      <alignment horizontal="center" vertical="center"/>
    </xf>
    <xf numFmtId="0" fontId="92" fillId="0" borderId="0" xfId="272" applyFont="1" applyAlignment="1" applyProtection="1">
      <alignment horizontal="center"/>
    </xf>
    <xf numFmtId="0" fontId="2" fillId="0" borderId="0" xfId="0" applyFont="1" applyFill="1" applyBorder="1" applyAlignment="1" applyProtection="1">
      <alignment horizontal="center" vertical="center"/>
    </xf>
    <xf numFmtId="0" fontId="58" fillId="0" borderId="0" xfId="0" applyFont="1" applyFill="1" applyAlignment="1" applyProtection="1">
      <alignment vertical="center"/>
    </xf>
    <xf numFmtId="0" fontId="2" fillId="0" borderId="0" xfId="0" applyFont="1" applyFill="1" applyBorder="1" applyAlignment="1" applyProtection="1">
      <alignment vertical="center"/>
    </xf>
    <xf numFmtId="0" fontId="106" fillId="28" borderId="0" xfId="0" applyFont="1" applyFill="1" applyBorder="1" applyAlignment="1" applyProtection="1">
      <alignment vertical="center"/>
      <protection locked="0"/>
    </xf>
    <xf numFmtId="0" fontId="108" fillId="0" borderId="0" xfId="0" applyFont="1" applyAlignment="1">
      <alignment horizontal="left" vertical="top" wrapText="1"/>
    </xf>
    <xf numFmtId="0" fontId="2" fillId="0" borderId="0" xfId="0" applyFont="1" applyAlignment="1">
      <alignment vertical="center" wrapText="1"/>
    </xf>
    <xf numFmtId="0" fontId="11" fillId="0" borderId="0" xfId="0" applyNumberFormat="1" applyFont="1" applyFill="1" applyBorder="1" applyAlignment="1" applyProtection="1">
      <alignment horizontal="left" vertical="center"/>
      <protection locked="0"/>
    </xf>
    <xf numFmtId="0" fontId="2" fillId="0" borderId="0" xfId="0" applyNumberFormat="1" applyFont="1" applyAlignment="1" applyProtection="1">
      <alignment horizontal="left" vertical="center"/>
    </xf>
    <xf numFmtId="0" fontId="3" fillId="0" borderId="0" xfId="0" applyNumberFormat="1" applyFont="1" applyAlignment="1">
      <alignment vertical="center"/>
    </xf>
    <xf numFmtId="49" fontId="106" fillId="0" borderId="0" xfId="0" applyNumberFormat="1" applyFont="1" applyFill="1" applyAlignment="1" applyProtection="1">
      <alignment horizontal="center" vertical="top"/>
    </xf>
    <xf numFmtId="49" fontId="3" fillId="0" borderId="0" xfId="0" applyNumberFormat="1" applyFont="1" applyFill="1" applyAlignment="1" applyProtection="1">
      <alignment horizontal="right" vertical="center"/>
    </xf>
    <xf numFmtId="49" fontId="3" fillId="0" borderId="0" xfId="0" applyNumberFormat="1" applyFont="1" applyFill="1" applyBorder="1" applyAlignment="1" applyProtection="1">
      <alignment horizontal="right" vertical="center"/>
    </xf>
    <xf numFmtId="49" fontId="96" fillId="0" borderId="0" xfId="0" applyNumberFormat="1" applyFont="1" applyFill="1" applyBorder="1" applyAlignment="1" applyProtection="1">
      <alignment horizontal="right" vertical="center"/>
    </xf>
    <xf numFmtId="0" fontId="3" fillId="0" borderId="0" xfId="0" applyNumberFormat="1" applyFont="1" applyFill="1" applyAlignment="1" applyProtection="1">
      <alignment horizontal="right" vertical="center"/>
    </xf>
    <xf numFmtId="49" fontId="58" fillId="0" borderId="0" xfId="0" applyNumberFormat="1" applyFont="1" applyFill="1" applyAlignment="1" applyProtection="1">
      <alignment horizontal="center" vertical="center"/>
    </xf>
    <xf numFmtId="49" fontId="100" fillId="0" borderId="0" xfId="0" applyNumberFormat="1" applyFont="1" applyFill="1" applyAlignment="1" applyProtection="1">
      <alignment horizontal="center" vertical="center"/>
    </xf>
    <xf numFmtId="49" fontId="100" fillId="0" borderId="0" xfId="0" applyNumberFormat="1" applyFont="1" applyFill="1" applyAlignment="1" applyProtection="1">
      <alignment vertical="center"/>
    </xf>
    <xf numFmtId="0" fontId="58" fillId="0" borderId="0" xfId="0" applyNumberFormat="1" applyFont="1" applyFill="1" applyAlignment="1" applyProtection="1">
      <alignment horizontal="center" vertical="center"/>
    </xf>
    <xf numFmtId="49" fontId="95" fillId="0" borderId="0" xfId="0" applyNumberFormat="1" applyFont="1" applyFill="1" applyBorder="1" applyAlignment="1" applyProtection="1">
      <alignment horizontal="center" vertical="center" wrapText="1"/>
    </xf>
    <xf numFmtId="49" fontId="100" fillId="0" borderId="3" xfId="0" applyNumberFormat="1" applyFont="1" applyFill="1" applyBorder="1" applyAlignment="1" applyProtection="1">
      <alignment horizontal="center" vertical="center"/>
    </xf>
    <xf numFmtId="0" fontId="58" fillId="0" borderId="3" xfId="0" applyNumberFormat="1" applyFont="1" applyFill="1" applyBorder="1" applyAlignment="1" applyProtection="1">
      <alignment horizontal="center" vertical="center"/>
    </xf>
    <xf numFmtId="49" fontId="103" fillId="0" borderId="0" xfId="0" applyNumberFormat="1" applyFont="1" applyFill="1" applyAlignment="1" applyProtection="1">
      <alignment horizontal="center" vertical="center"/>
    </xf>
    <xf numFmtId="49" fontId="111" fillId="30" borderId="13" xfId="0" applyNumberFormat="1" applyFont="1" applyFill="1" applyBorder="1" applyAlignment="1" applyProtection="1">
      <alignment vertical="center" textRotation="255"/>
    </xf>
    <xf numFmtId="49" fontId="104" fillId="0" borderId="3" xfId="295" applyNumberFormat="1" applyFont="1" applyFill="1" applyBorder="1" applyAlignment="1" applyProtection="1">
      <alignment horizontal="center" vertical="center"/>
    </xf>
    <xf numFmtId="49" fontId="103" fillId="0" borderId="3" xfId="295" applyNumberFormat="1" applyFont="1" applyFill="1" applyBorder="1" applyAlignment="1" applyProtection="1">
      <alignment vertical="center"/>
    </xf>
    <xf numFmtId="0" fontId="111" fillId="0" borderId="11" xfId="0" applyNumberFormat="1" applyFont="1" applyFill="1" applyBorder="1" applyAlignment="1" applyProtection="1">
      <alignment horizontal="center" vertical="center"/>
    </xf>
    <xf numFmtId="49" fontId="103" fillId="0" borderId="10" xfId="295" applyNumberFormat="1" applyFont="1" applyFill="1" applyBorder="1" applyAlignment="1" applyProtection="1">
      <alignment vertical="center"/>
    </xf>
    <xf numFmtId="49" fontId="103" fillId="0" borderId="11" xfId="295" applyNumberFormat="1" applyFont="1" applyFill="1" applyBorder="1" applyAlignment="1" applyProtection="1">
      <alignment vertical="center"/>
    </xf>
    <xf numFmtId="49" fontId="58" fillId="0" borderId="0" xfId="0" applyNumberFormat="1" applyFont="1" applyFill="1" applyBorder="1" applyAlignment="1" applyProtection="1">
      <alignment vertical="center"/>
    </xf>
    <xf numFmtId="49" fontId="89" fillId="0" borderId="0" xfId="295" applyNumberFormat="1" applyFont="1" applyFill="1" applyBorder="1" applyAlignment="1" applyProtection="1">
      <alignment horizontal="center" vertical="center"/>
    </xf>
    <xf numFmtId="49" fontId="58" fillId="0" borderId="0" xfId="0" applyNumberFormat="1" applyFont="1" applyFill="1" applyBorder="1" applyAlignment="1" applyProtection="1">
      <alignment horizontal="right" vertical="center"/>
    </xf>
    <xf numFmtId="49" fontId="58" fillId="0" borderId="0" xfId="0" applyNumberFormat="1" applyFont="1" applyFill="1" applyBorder="1" applyAlignment="1" applyProtection="1">
      <alignment horizontal="left" vertical="center"/>
    </xf>
    <xf numFmtId="49" fontId="58" fillId="0" borderId="0" xfId="0" applyNumberFormat="1" applyFont="1" applyFill="1" applyBorder="1" applyAlignment="1" applyProtection="1">
      <alignment horizontal="center" vertical="center"/>
    </xf>
    <xf numFmtId="49" fontId="113" fillId="0" borderId="0" xfId="0" applyNumberFormat="1" applyFont="1" applyFill="1" applyAlignment="1" applyProtection="1">
      <alignment horizontal="center" vertical="center"/>
    </xf>
    <xf numFmtId="49" fontId="113" fillId="0" borderId="0" xfId="0" applyNumberFormat="1" applyFont="1" applyFill="1" applyAlignment="1" applyProtection="1">
      <alignment vertical="center"/>
    </xf>
    <xf numFmtId="49" fontId="113" fillId="28" borderId="0" xfId="0" applyNumberFormat="1" applyFont="1" applyFill="1" applyAlignment="1" applyProtection="1">
      <alignment horizontal="center" vertical="center"/>
    </xf>
    <xf numFmtId="49" fontId="113" fillId="31" borderId="0" xfId="0" applyNumberFormat="1" applyFont="1" applyFill="1" applyAlignment="1" applyProtection="1">
      <alignment vertical="center"/>
    </xf>
    <xf numFmtId="49" fontId="113" fillId="32" borderId="0" xfId="0" applyNumberFormat="1" applyFont="1" applyFill="1" applyAlignment="1" applyProtection="1">
      <alignment vertical="center"/>
    </xf>
    <xf numFmtId="0" fontId="105" fillId="0" borderId="0" xfId="0" applyNumberFormat="1" applyFont="1" applyAlignment="1">
      <alignment horizontal="right" vertical="center"/>
    </xf>
    <xf numFmtId="0" fontId="103" fillId="0" borderId="0" xfId="0" applyFont="1" applyFill="1" applyAlignment="1" applyProtection="1">
      <alignment horizontal="right" vertical="center"/>
      <protection hidden="1"/>
    </xf>
    <xf numFmtId="0" fontId="99" fillId="0" borderId="0" xfId="0" applyFont="1" applyAlignment="1">
      <alignment horizontal="left" vertical="center"/>
    </xf>
    <xf numFmtId="49" fontId="112" fillId="0" borderId="0" xfId="197" applyNumberFormat="1" applyFont="1" applyFill="1" applyAlignment="1" applyProtection="1">
      <alignment vertical="center"/>
    </xf>
    <xf numFmtId="49" fontId="113" fillId="0" borderId="0" xfId="197" applyNumberFormat="1" applyFont="1" applyFill="1" applyAlignment="1" applyProtection="1">
      <alignment vertical="center"/>
    </xf>
    <xf numFmtId="49" fontId="103" fillId="0" borderId="0" xfId="197" applyNumberFormat="1" applyFont="1" applyFill="1" applyAlignment="1" applyProtection="1">
      <alignment vertical="center"/>
    </xf>
    <xf numFmtId="49" fontId="58" fillId="0" borderId="0" xfId="197" applyNumberFormat="1" applyFont="1" applyFill="1" applyAlignment="1" applyProtection="1">
      <alignment horizontal="center" vertical="center"/>
    </xf>
    <xf numFmtId="49" fontId="109" fillId="0" borderId="0" xfId="197" applyNumberFormat="1" applyFont="1" applyFill="1" applyBorder="1" applyAlignment="1" applyProtection="1">
      <alignment horizontal="center" vertical="center"/>
    </xf>
    <xf numFmtId="49" fontId="100" fillId="28" borderId="12" xfId="197" applyNumberFormat="1" applyFont="1" applyFill="1" applyBorder="1" applyAlignment="1" applyProtection="1">
      <alignment vertical="center"/>
      <protection locked="0"/>
    </xf>
    <xf numFmtId="49" fontId="100" fillId="0" borderId="0" xfId="197" applyNumberFormat="1" applyFont="1" applyFill="1" applyBorder="1" applyAlignment="1" applyProtection="1">
      <alignment horizontal="center" vertical="center"/>
    </xf>
    <xf numFmtId="49" fontId="109" fillId="0" borderId="0" xfId="197" applyNumberFormat="1" applyFont="1" applyFill="1" applyBorder="1" applyAlignment="1" applyProtection="1">
      <alignment horizontal="right" vertical="center"/>
    </xf>
    <xf numFmtId="49" fontId="100" fillId="28" borderId="12" xfId="197" applyNumberFormat="1" applyFont="1" applyFill="1" applyBorder="1" applyAlignment="1" applyProtection="1">
      <alignment horizontal="center" vertical="center"/>
      <protection locked="0"/>
    </xf>
    <xf numFmtId="49" fontId="116" fillId="28" borderId="12" xfId="197" applyNumberFormat="1" applyFont="1" applyFill="1" applyBorder="1" applyAlignment="1" applyProtection="1">
      <alignment vertical="center"/>
      <protection locked="0"/>
    </xf>
    <xf numFmtId="0" fontId="58" fillId="0" borderId="0" xfId="197" applyNumberFormat="1" applyFont="1" applyFill="1" applyAlignment="1" applyProtection="1">
      <alignment horizontal="center" vertical="center"/>
    </xf>
    <xf numFmtId="49" fontId="100" fillId="0" borderId="5" xfId="197" applyNumberFormat="1" applyFont="1" applyFill="1" applyBorder="1" applyAlignment="1" applyProtection="1">
      <alignment vertical="center"/>
    </xf>
    <xf numFmtId="0" fontId="100" fillId="0" borderId="5" xfId="197" applyNumberFormat="1" applyFont="1" applyFill="1" applyBorder="1" applyAlignment="1" applyProtection="1">
      <alignment vertical="center"/>
    </xf>
    <xf numFmtId="49" fontId="100" fillId="28" borderId="5" xfId="197" applyNumberFormat="1" applyFont="1" applyFill="1" applyBorder="1" applyAlignment="1" applyProtection="1">
      <alignment horizontal="center" vertical="center"/>
      <protection locked="0"/>
    </xf>
    <xf numFmtId="43" fontId="100" fillId="28" borderId="12" xfId="197" applyNumberFormat="1" applyFont="1" applyFill="1" applyBorder="1" applyAlignment="1" applyProtection="1">
      <alignment horizontal="center" vertical="center"/>
      <protection locked="0"/>
    </xf>
    <xf numFmtId="49" fontId="100" fillId="0" borderId="5" xfId="197" applyNumberFormat="1" applyFont="1" applyFill="1" applyBorder="1" applyAlignment="1" applyProtection="1">
      <alignment horizontal="center" vertical="center"/>
      <protection locked="0"/>
    </xf>
    <xf numFmtId="49" fontId="116" fillId="0" borderId="12" xfId="197" applyNumberFormat="1" applyFont="1" applyFill="1" applyBorder="1" applyAlignment="1" applyProtection="1">
      <alignment vertical="center"/>
      <protection locked="0"/>
    </xf>
    <xf numFmtId="43" fontId="100" fillId="0" borderId="12" xfId="197" applyNumberFormat="1" applyFont="1" applyFill="1" applyBorder="1" applyAlignment="1" applyProtection="1">
      <alignment horizontal="center" vertical="center"/>
      <protection locked="0"/>
    </xf>
    <xf numFmtId="49" fontId="60" fillId="29" borderId="3" xfId="0" applyNumberFormat="1" applyFont="1" applyFill="1" applyBorder="1" applyAlignment="1" applyProtection="1">
      <alignment horizontal="center" vertical="center"/>
    </xf>
    <xf numFmtId="49" fontId="60" fillId="29" borderId="11" xfId="0" applyNumberFormat="1" applyFont="1" applyFill="1" applyBorder="1" applyAlignment="1" applyProtection="1">
      <alignment horizontal="center" vertical="center"/>
    </xf>
    <xf numFmtId="49" fontId="60" fillId="29" borderId="10" xfId="0" applyNumberFormat="1" applyFont="1" applyFill="1" applyBorder="1" applyAlignment="1" applyProtection="1">
      <alignment horizontal="center" vertical="center"/>
    </xf>
    <xf numFmtId="49" fontId="110" fillId="0" borderId="12" xfId="197" applyNumberFormat="1" applyFont="1" applyFill="1" applyBorder="1" applyAlignment="1" applyProtection="1">
      <alignment vertical="center"/>
    </xf>
    <xf numFmtId="49" fontId="2" fillId="0" borderId="3" xfId="0" applyNumberFormat="1" applyFont="1" applyFill="1" applyBorder="1" applyAlignment="1" applyProtection="1">
      <alignment vertical="center" shrinkToFit="1"/>
      <protection locked="0"/>
    </xf>
    <xf numFmtId="49" fontId="58" fillId="0" borderId="11" xfId="197" applyNumberFormat="1" applyFont="1" applyFill="1" applyBorder="1" applyAlignment="1" applyProtection="1">
      <alignment horizontal="center" vertical="center"/>
      <protection locked="0"/>
    </xf>
    <xf numFmtId="49" fontId="58" fillId="0" borderId="3" xfId="197" applyNumberFormat="1" applyFont="1" applyFill="1" applyBorder="1" applyAlignment="1" applyProtection="1">
      <alignment horizontal="center" vertical="center"/>
      <protection locked="0"/>
    </xf>
    <xf numFmtId="0" fontId="58" fillId="28" borderId="11" xfId="197" applyNumberFormat="1" applyFont="1" applyFill="1" applyBorder="1" applyAlignment="1" applyProtection="1">
      <alignment horizontal="center" vertical="center"/>
      <protection locked="0"/>
    </xf>
    <xf numFmtId="0" fontId="58" fillId="31" borderId="10" xfId="197" applyNumberFormat="1" applyFont="1" applyFill="1" applyBorder="1" applyAlignment="1" applyProtection="1">
      <alignment horizontal="center" vertical="center"/>
      <protection locked="0"/>
    </xf>
    <xf numFmtId="14" fontId="103" fillId="32" borderId="11" xfId="197" applyNumberFormat="1" applyFont="1" applyFill="1" applyBorder="1" applyAlignment="1" applyProtection="1">
      <alignment horizontal="center" vertical="center"/>
      <protection locked="0"/>
    </xf>
    <xf numFmtId="0" fontId="103" fillId="32" borderId="3" xfId="197" applyNumberFormat="1" applyFont="1" applyFill="1" applyBorder="1" applyAlignment="1" applyProtection="1">
      <alignment horizontal="center" vertical="center"/>
      <protection locked="0"/>
    </xf>
    <xf numFmtId="0" fontId="103" fillId="0" borderId="5" xfId="197" applyNumberFormat="1" applyFont="1" applyFill="1" applyBorder="1" applyAlignment="1" applyProtection="1">
      <alignment horizontal="center" vertical="center"/>
    </xf>
    <xf numFmtId="49" fontId="61" fillId="31" borderId="5" xfId="0" applyNumberFormat="1" applyFont="1" applyFill="1" applyBorder="1" applyAlignment="1" applyProtection="1">
      <alignment vertical="center"/>
      <protection hidden="1"/>
    </xf>
    <xf numFmtId="0" fontId="61" fillId="31" borderId="5" xfId="0" applyFont="1" applyFill="1" applyBorder="1" applyAlignment="1" applyProtection="1">
      <alignment vertical="center"/>
      <protection hidden="1"/>
    </xf>
    <xf numFmtId="49" fontId="106" fillId="31" borderId="5" xfId="0" applyNumberFormat="1" applyFont="1" applyFill="1" applyBorder="1" applyAlignment="1">
      <alignment horizontal="left" vertical="center"/>
    </xf>
    <xf numFmtId="0" fontId="3" fillId="31" borderId="5" xfId="0" applyFont="1" applyFill="1" applyBorder="1" applyAlignment="1">
      <alignment vertical="center"/>
    </xf>
    <xf numFmtId="49" fontId="2" fillId="0" borderId="3" xfId="0" applyNumberFormat="1" applyFont="1" applyFill="1" applyBorder="1" applyAlignment="1" applyProtection="1">
      <alignment vertical="center" shrinkToFit="1"/>
    </xf>
    <xf numFmtId="0" fontId="118" fillId="0" borderId="0" xfId="215" applyFont="1" applyAlignment="1">
      <alignment vertical="center"/>
    </xf>
    <xf numFmtId="0" fontId="119" fillId="0" borderId="0" xfId="215" applyFont="1" applyAlignment="1">
      <alignment vertical="center"/>
    </xf>
    <xf numFmtId="0" fontId="28" fillId="0" borderId="0" xfId="247" applyAlignment="1">
      <alignment vertical="center"/>
    </xf>
    <xf numFmtId="0" fontId="118" fillId="0" borderId="3" xfId="215" applyFont="1" applyBorder="1" applyAlignment="1">
      <alignment horizontal="center" vertical="center" wrapText="1"/>
    </xf>
    <xf numFmtId="0" fontId="122" fillId="0" borderId="3" xfId="215" applyFont="1" applyFill="1" applyBorder="1" applyAlignment="1">
      <alignment horizontal="center" vertical="center"/>
    </xf>
    <xf numFmtId="0" fontId="123" fillId="0" borderId="3" xfId="215" applyFont="1" applyFill="1" applyBorder="1" applyAlignment="1">
      <alignment horizontal="left" vertical="center"/>
    </xf>
    <xf numFmtId="0" fontId="123" fillId="0" borderId="3" xfId="215" applyFont="1" applyFill="1" applyBorder="1" applyAlignment="1">
      <alignment horizontal="center" vertical="center"/>
    </xf>
    <xf numFmtId="0" fontId="123" fillId="0" borderId="3" xfId="215" applyFont="1" applyFill="1" applyBorder="1" applyAlignment="1">
      <alignment vertical="center"/>
    </xf>
    <xf numFmtId="0" fontId="122" fillId="0" borderId="3" xfId="215" quotePrefix="1" applyFont="1" applyFill="1" applyBorder="1" applyAlignment="1">
      <alignment vertical="center"/>
    </xf>
    <xf numFmtId="0" fontId="122" fillId="0" borderId="3" xfId="215" applyFont="1" applyFill="1" applyBorder="1" applyAlignment="1">
      <alignment vertical="center"/>
    </xf>
    <xf numFmtId="14" fontId="122" fillId="0" borderId="3" xfId="215" applyNumberFormat="1" applyFont="1" applyFill="1" applyBorder="1" applyAlignment="1">
      <alignment horizontal="center" vertical="center"/>
    </xf>
    <xf numFmtId="0" fontId="28" fillId="0" borderId="3" xfId="247" applyFill="1" applyBorder="1" applyAlignment="1">
      <alignment vertical="center"/>
    </xf>
    <xf numFmtId="0" fontId="2" fillId="0" borderId="3" xfId="247" applyFont="1" applyFill="1" applyBorder="1" applyAlignment="1">
      <alignment vertical="center"/>
    </xf>
    <xf numFmtId="49" fontId="4" fillId="0" borderId="0" xfId="216" applyNumberFormat="1" applyFont="1" applyFill="1" applyBorder="1" applyAlignment="1" applyProtection="1">
      <alignment vertical="center"/>
      <protection locked="0"/>
    </xf>
    <xf numFmtId="0" fontId="124" fillId="0" borderId="0" xfId="0" applyFont="1" applyFill="1" applyBorder="1" applyAlignment="1">
      <alignment vertical="center" wrapText="1"/>
    </xf>
    <xf numFmtId="0" fontId="105" fillId="0" borderId="0" xfId="0" applyFont="1" applyFill="1" applyBorder="1" applyAlignment="1">
      <alignment vertical="center" wrapText="1"/>
    </xf>
    <xf numFmtId="0" fontId="28" fillId="0" borderId="0" xfId="247" applyFill="1" applyBorder="1" applyAlignment="1">
      <alignment vertical="center"/>
    </xf>
    <xf numFmtId="203" fontId="2" fillId="0" borderId="3" xfId="0" applyNumberFormat="1" applyFont="1" applyFill="1" applyBorder="1" applyAlignment="1" applyProtection="1">
      <alignment vertical="center"/>
      <protection locked="0"/>
    </xf>
    <xf numFmtId="0" fontId="122" fillId="0" borderId="3" xfId="215" applyFont="1" applyBorder="1" applyAlignment="1">
      <alignment horizontal="center" vertical="center"/>
    </xf>
    <xf numFmtId="0" fontId="122" fillId="0" borderId="3" xfId="215" applyFont="1" applyBorder="1" applyAlignment="1">
      <alignment vertical="center"/>
    </xf>
    <xf numFmtId="49" fontId="125" fillId="0" borderId="3" xfId="226" applyNumberFormat="1" applyFont="1" applyFill="1" applyBorder="1" applyAlignment="1">
      <alignment horizontal="left" vertical="center"/>
    </xf>
    <xf numFmtId="14" fontId="122" fillId="0" borderId="3" xfId="215" applyNumberFormat="1" applyFont="1" applyBorder="1" applyAlignment="1">
      <alignment horizontal="center" vertical="center"/>
    </xf>
    <xf numFmtId="0" fontId="123" fillId="0" borderId="3" xfId="215" applyFont="1" applyBorder="1" applyAlignment="1">
      <alignment horizontal="center" vertical="center"/>
    </xf>
    <xf numFmtId="0" fontId="118" fillId="0" borderId="3" xfId="215" applyFont="1" applyBorder="1" applyAlignment="1">
      <alignment horizontal="center" vertical="center"/>
    </xf>
    <xf numFmtId="0" fontId="118" fillId="29" borderId="3" xfId="215" applyFont="1" applyFill="1" applyBorder="1" applyAlignment="1">
      <alignment horizontal="center" vertical="center" wrapText="1"/>
    </xf>
    <xf numFmtId="49" fontId="126" fillId="0" borderId="0" xfId="216" applyNumberFormat="1" applyFont="1" applyFill="1" applyBorder="1" applyAlignment="1" applyProtection="1">
      <alignment vertical="center"/>
      <protection locked="0"/>
    </xf>
    <xf numFmtId="0" fontId="4" fillId="0" borderId="3" xfId="0" applyFont="1" applyFill="1" applyBorder="1" applyAlignment="1" applyProtection="1">
      <alignment vertical="center"/>
      <protection hidden="1"/>
    </xf>
    <xf numFmtId="0" fontId="3" fillId="0" borderId="3" xfId="247" applyFont="1" applyFill="1" applyBorder="1" applyAlignment="1">
      <alignment horizontal="center" vertical="center" wrapText="1"/>
    </xf>
    <xf numFmtId="0" fontId="118" fillId="29" borderId="3" xfId="215" applyFont="1" applyFill="1" applyBorder="1" applyAlignment="1">
      <alignment horizontal="center" vertical="center"/>
    </xf>
    <xf numFmtId="0" fontId="123" fillId="0" borderId="0" xfId="215" applyFont="1" applyFill="1" applyBorder="1" applyAlignment="1">
      <alignment vertical="center"/>
    </xf>
    <xf numFmtId="0" fontId="122" fillId="0" borderId="0" xfId="215" quotePrefix="1" applyFont="1" applyFill="1" applyBorder="1" applyAlignment="1">
      <alignment vertical="center"/>
    </xf>
    <xf numFmtId="0" fontId="122" fillId="0" borderId="0" xfId="215" applyFont="1" applyBorder="1" applyAlignment="1">
      <alignment vertical="center"/>
    </xf>
    <xf numFmtId="0" fontId="122" fillId="0" borderId="0" xfId="215" applyFont="1" applyFill="1" applyBorder="1" applyAlignment="1">
      <alignment vertical="center"/>
    </xf>
    <xf numFmtId="14" fontId="122" fillId="0" borderId="0" xfId="215" applyNumberFormat="1" applyFont="1" applyBorder="1" applyAlignment="1">
      <alignment horizontal="center" vertical="center"/>
    </xf>
    <xf numFmtId="0" fontId="122" fillId="0" borderId="0" xfId="215" applyFont="1" applyFill="1" applyBorder="1" applyAlignment="1">
      <alignment horizontal="center" vertical="center"/>
    </xf>
    <xf numFmtId="0" fontId="118" fillId="0" borderId="0" xfId="215" applyFont="1" applyBorder="1" applyAlignment="1">
      <alignment horizontal="left" vertical="center"/>
    </xf>
    <xf numFmtId="0" fontId="4" fillId="0" borderId="0" xfId="0" applyFont="1" applyFill="1" applyBorder="1" applyAlignment="1" applyProtection="1">
      <alignment vertical="center"/>
      <protection hidden="1"/>
    </xf>
    <xf numFmtId="0" fontId="3" fillId="0" borderId="0" xfId="247" applyFont="1" applyFill="1" applyBorder="1" applyAlignment="1">
      <alignment horizontal="center" vertical="center" wrapText="1"/>
    </xf>
    <xf numFmtId="0" fontId="122" fillId="0" borderId="0" xfId="215" applyFont="1" applyBorder="1" applyAlignment="1">
      <alignment horizontal="center" vertical="center"/>
    </xf>
    <xf numFmtId="0" fontId="123" fillId="0" borderId="0" xfId="215" applyFont="1" applyFill="1" applyBorder="1" applyAlignment="1">
      <alignment horizontal="left" vertical="center"/>
    </xf>
    <xf numFmtId="0" fontId="123" fillId="0" borderId="0" xfId="215" applyFont="1" applyBorder="1" applyAlignment="1">
      <alignment vertical="center"/>
    </xf>
    <xf numFmtId="0" fontId="127" fillId="29" borderId="3" xfId="215" applyFont="1" applyFill="1" applyBorder="1" applyAlignment="1">
      <alignment horizontal="center" vertical="center" wrapText="1"/>
    </xf>
    <xf numFmtId="0" fontId="4" fillId="31" borderId="5" xfId="0" applyFont="1" applyFill="1" applyBorder="1" applyAlignment="1" applyProtection="1">
      <alignment vertical="center"/>
      <protection hidden="1"/>
    </xf>
    <xf numFmtId="49" fontId="114" fillId="0" borderId="0" xfId="0" applyNumberFormat="1" applyFont="1" applyFill="1" applyBorder="1" applyAlignment="1" applyProtection="1">
      <alignment vertical="center"/>
      <protection hidden="1"/>
    </xf>
    <xf numFmtId="0" fontId="4" fillId="29" borderId="17" xfId="0" applyFont="1" applyFill="1" applyBorder="1" applyAlignment="1" applyProtection="1">
      <alignment vertical="center"/>
      <protection hidden="1"/>
    </xf>
    <xf numFmtId="0" fontId="61" fillId="29" borderId="18" xfId="0" applyFont="1" applyFill="1" applyBorder="1" applyAlignment="1" applyProtection="1">
      <alignment vertical="center"/>
      <protection hidden="1"/>
    </xf>
    <xf numFmtId="0" fontId="4" fillId="29" borderId="18" xfId="0" applyFont="1" applyFill="1" applyBorder="1" applyAlignment="1" applyProtection="1">
      <alignment vertical="center"/>
      <protection hidden="1"/>
    </xf>
    <xf numFmtId="0" fontId="4" fillId="29" borderId="19" xfId="0" applyFont="1" applyFill="1" applyBorder="1" applyAlignment="1" applyProtection="1">
      <alignment vertical="center"/>
      <protection hidden="1"/>
    </xf>
    <xf numFmtId="0" fontId="59" fillId="0" borderId="0" xfId="440" applyFont="1" applyFill="1" applyBorder="1" applyAlignment="1">
      <alignment horizontal="left" vertical="center"/>
    </xf>
    <xf numFmtId="0" fontId="3" fillId="0" borderId="0" xfId="275" applyFont="1" applyAlignment="1">
      <alignment horizontal="left" vertical="center" wrapText="1"/>
    </xf>
    <xf numFmtId="0" fontId="3" fillId="0" borderId="3" xfId="275" applyFont="1" applyBorder="1" applyAlignment="1">
      <alignment vertical="center"/>
    </xf>
    <xf numFmtId="0" fontId="3" fillId="0" borderId="3" xfId="442" applyFont="1" applyFill="1" applyBorder="1" applyAlignment="1">
      <alignment horizontal="center" vertical="center"/>
    </xf>
    <xf numFmtId="0" fontId="3" fillId="0" borderId="3" xfId="443" applyFont="1" applyFill="1" applyBorder="1" applyAlignment="1">
      <alignment horizontal="left" vertical="center"/>
    </xf>
    <xf numFmtId="203" fontId="3" fillId="0" borderId="3" xfId="197" applyNumberFormat="1" applyFont="1" applyFill="1" applyBorder="1" applyAlignment="1" applyProtection="1">
      <alignment vertical="center"/>
      <protection locked="0"/>
    </xf>
    <xf numFmtId="43" fontId="122" fillId="35" borderId="3" xfId="381" applyNumberFormat="1" applyFont="1" applyFill="1" applyBorder="1" applyAlignment="1" applyProtection="1">
      <alignment vertical="center"/>
      <protection locked="0"/>
    </xf>
    <xf numFmtId="14" fontId="122" fillId="0" borderId="3" xfId="275" applyNumberFormat="1" applyFont="1" applyBorder="1" applyAlignment="1">
      <alignment horizontal="left" vertical="center" wrapText="1"/>
    </xf>
    <xf numFmtId="0" fontId="87" fillId="0" borderId="0" xfId="275" applyFont="1" applyAlignment="1">
      <alignment vertical="center"/>
    </xf>
    <xf numFmtId="0" fontId="4" fillId="0" borderId="0" xfId="275" applyFont="1" applyAlignment="1">
      <alignment vertical="center"/>
    </xf>
    <xf numFmtId="0" fontId="4" fillId="0" borderId="3" xfId="275" applyFont="1" applyBorder="1" applyAlignment="1">
      <alignment horizontal="center" vertical="center"/>
    </xf>
    <xf numFmtId="0" fontId="129" fillId="0" borderId="3" xfId="275" applyFont="1" applyBorder="1" applyAlignment="1">
      <alignment horizontal="center" vertical="center"/>
    </xf>
    <xf numFmtId="0" fontId="129" fillId="0" borderId="3" xfId="275" applyFont="1" applyBorder="1" applyAlignment="1">
      <alignment horizontal="center"/>
    </xf>
    <xf numFmtId="49" fontId="3" fillId="0" borderId="3" xfId="275" applyNumberFormat="1" applyFont="1" applyBorder="1">
      <alignment vertical="center"/>
    </xf>
    <xf numFmtId="0" fontId="4" fillId="0" borderId="0" xfId="275" applyFont="1" applyAlignment="1">
      <alignment horizontal="center" vertical="center"/>
    </xf>
    <xf numFmtId="0" fontId="87" fillId="0" borderId="3" xfId="275" applyFont="1" applyBorder="1" applyAlignment="1">
      <alignment horizontal="center" vertical="center"/>
    </xf>
    <xf numFmtId="0" fontId="8" fillId="29" borderId="3" xfId="441" applyFont="1" applyFill="1" applyBorder="1" applyAlignment="1">
      <alignment horizontal="center" vertical="center"/>
    </xf>
    <xf numFmtId="0" fontId="128" fillId="29" borderId="3" xfId="441" applyFont="1" applyFill="1" applyBorder="1" applyAlignment="1">
      <alignment horizontal="center" vertical="center"/>
    </xf>
    <xf numFmtId="0" fontId="8" fillId="29" borderId="14" xfId="441" applyFont="1" applyFill="1" applyBorder="1" applyAlignment="1">
      <alignment horizontal="center" vertical="center"/>
    </xf>
    <xf numFmtId="0" fontId="6" fillId="29" borderId="3" xfId="441" applyFont="1" applyFill="1" applyBorder="1" applyAlignment="1">
      <alignment horizontal="center" vertical="center" wrapText="1"/>
    </xf>
    <xf numFmtId="0" fontId="8" fillId="29" borderId="3" xfId="441" applyFont="1" applyFill="1" applyBorder="1" applyAlignment="1">
      <alignment horizontal="center" vertical="center" wrapText="1"/>
    </xf>
    <xf numFmtId="43" fontId="129" fillId="0" borderId="3" xfId="442" quotePrefix="1" applyNumberFormat="1" applyFont="1" applyFill="1" applyBorder="1" applyAlignment="1">
      <alignment horizontal="left" vertical="center"/>
    </xf>
    <xf numFmtId="49" fontId="130" fillId="0" borderId="0" xfId="0" applyNumberFormat="1" applyFont="1" applyFill="1" applyAlignment="1" applyProtection="1">
      <alignment vertical="center"/>
      <protection hidden="1"/>
    </xf>
    <xf numFmtId="0" fontId="131" fillId="0" borderId="0" xfId="275" applyFont="1" applyAlignment="1">
      <alignment horizontal="left" vertical="center"/>
    </xf>
    <xf numFmtId="0" fontId="59" fillId="0" borderId="0" xfId="275" applyFont="1" applyAlignment="1">
      <alignment vertical="center"/>
    </xf>
    <xf numFmtId="0" fontId="59" fillId="29" borderId="3" xfId="275" applyFont="1" applyFill="1" applyBorder="1" applyAlignment="1">
      <alignment horizontal="center" vertical="center"/>
    </xf>
    <xf numFmtId="0" fontId="133" fillId="29" borderId="3" xfId="275" applyFont="1" applyFill="1" applyBorder="1" applyAlignment="1">
      <alignment horizontal="center" vertical="center"/>
    </xf>
    <xf numFmtId="0" fontId="133" fillId="29" borderId="10" xfId="275" applyFont="1" applyFill="1" applyBorder="1" applyAlignment="1">
      <alignment horizontal="center" vertical="center" wrapText="1"/>
    </xf>
    <xf numFmtId="49" fontId="133" fillId="29" borderId="3" xfId="275" applyNumberFormat="1" applyFont="1" applyFill="1" applyBorder="1" applyAlignment="1">
      <alignment horizontal="center" vertical="center" wrapText="1"/>
    </xf>
    <xf numFmtId="0" fontId="129" fillId="0" borderId="3" xfId="275" applyFont="1" applyBorder="1" applyAlignment="1">
      <alignment horizontal="center" vertical="top" wrapText="1"/>
    </xf>
    <xf numFmtId="0" fontId="98" fillId="0" borderId="0" xfId="275" applyFont="1" applyBorder="1" applyAlignment="1">
      <alignment vertical="center" wrapText="1"/>
    </xf>
    <xf numFmtId="0" fontId="59" fillId="0" borderId="0" xfId="275" applyFont="1" applyBorder="1" applyAlignment="1">
      <alignment vertical="center"/>
    </xf>
    <xf numFmtId="0" fontId="122" fillId="0" borderId="0" xfId="215" applyFont="1" applyFill="1" applyAlignment="1"/>
    <xf numFmtId="0" fontId="8" fillId="0" borderId="3" xfId="215" applyFont="1" applyFill="1" applyBorder="1" applyAlignment="1">
      <alignment horizontal="center" vertical="center"/>
    </xf>
    <xf numFmtId="0" fontId="3" fillId="0" borderId="3" xfId="215" applyFont="1" applyFill="1" applyBorder="1" applyAlignment="1">
      <alignment vertical="center"/>
    </xf>
    <xf numFmtId="0" fontId="122" fillId="0" borderId="3" xfId="215" applyFont="1" applyFill="1" applyBorder="1" applyAlignment="1">
      <alignment vertical="center" wrapText="1"/>
    </xf>
    <xf numFmtId="0" fontId="3" fillId="0" borderId="3" xfId="215" applyFont="1" applyFill="1" applyBorder="1" applyAlignment="1">
      <alignment vertical="center" wrapText="1"/>
    </xf>
    <xf numFmtId="0" fontId="2" fillId="0" borderId="3" xfId="215" applyFont="1" applyFill="1" applyBorder="1" applyAlignment="1">
      <alignment vertical="center"/>
    </xf>
    <xf numFmtId="43" fontId="3" fillId="0" borderId="3" xfId="215" applyNumberFormat="1" applyFont="1" applyFill="1" applyBorder="1" applyAlignment="1">
      <alignment vertical="center"/>
    </xf>
    <xf numFmtId="4" fontId="3" fillId="0" borderId="3" xfId="215" applyNumberFormat="1" applyFont="1" applyFill="1" applyBorder="1" applyAlignment="1"/>
    <xf numFmtId="43" fontId="3" fillId="0" borderId="3" xfId="374" applyFont="1" applyFill="1" applyBorder="1" applyAlignment="1"/>
    <xf numFmtId="204" fontId="3" fillId="0" borderId="3" xfId="215" applyNumberFormat="1" applyFont="1" applyFill="1" applyBorder="1" applyAlignment="1"/>
    <xf numFmtId="0" fontId="3" fillId="0" borderId="3" xfId="215" applyFont="1" applyFill="1" applyBorder="1" applyAlignment="1"/>
    <xf numFmtId="0" fontId="3" fillId="0" borderId="3" xfId="215" applyFont="1" applyFill="1" applyBorder="1" applyAlignment="1">
      <alignment wrapText="1"/>
    </xf>
    <xf numFmtId="43" fontId="3" fillId="0" borderId="3" xfId="215" applyNumberFormat="1" applyFont="1" applyFill="1" applyBorder="1" applyAlignment="1"/>
    <xf numFmtId="0" fontId="2" fillId="0" borderId="3" xfId="215" applyFont="1" applyFill="1" applyBorder="1" applyAlignment="1"/>
    <xf numFmtId="4" fontId="3" fillId="0" borderId="3" xfId="374" applyNumberFormat="1" applyFont="1" applyFill="1" applyBorder="1" applyAlignment="1"/>
    <xf numFmtId="49" fontId="59" fillId="0" borderId="0" xfId="216" applyNumberFormat="1" applyFont="1" applyFill="1" applyAlignment="1" applyProtection="1">
      <alignment vertical="center"/>
      <protection locked="0"/>
    </xf>
    <xf numFmtId="43" fontId="3" fillId="0" borderId="3" xfId="374" applyNumberFormat="1" applyFont="1" applyFill="1" applyBorder="1" applyAlignment="1">
      <alignment vertical="center"/>
    </xf>
    <xf numFmtId="43" fontId="3" fillId="31" borderId="3" xfId="374" applyNumberFormat="1" applyFont="1" applyFill="1" applyBorder="1" applyAlignment="1">
      <alignment vertical="center"/>
    </xf>
    <xf numFmtId="43" fontId="3" fillId="31" borderId="3" xfId="215" applyNumberFormat="1" applyFont="1" applyFill="1" applyBorder="1" applyAlignment="1">
      <alignment vertical="center"/>
    </xf>
    <xf numFmtId="0" fontId="8" fillId="29" borderId="3" xfId="215" applyFont="1" applyFill="1" applyBorder="1" applyAlignment="1">
      <alignment horizontal="center" vertical="center"/>
    </xf>
    <xf numFmtId="0" fontId="6" fillId="29" borderId="3" xfId="215" applyFont="1" applyFill="1" applyBorder="1" applyAlignment="1">
      <alignment horizontal="center" vertical="center" wrapText="1"/>
    </xf>
    <xf numFmtId="0" fontId="8" fillId="29" borderId="3" xfId="215" applyFont="1" applyFill="1" applyBorder="1" applyAlignment="1">
      <alignment horizontal="center"/>
    </xf>
    <xf numFmtId="0" fontId="3" fillId="0" borderId="3" xfId="215" applyFont="1" applyFill="1" applyBorder="1" applyAlignment="1">
      <alignment horizontal="center" vertical="center"/>
    </xf>
    <xf numFmtId="0" fontId="122" fillId="0" borderId="0" xfId="215" applyFont="1" applyFill="1" applyAlignment="1">
      <alignment horizontal="left" vertical="center"/>
    </xf>
    <xf numFmtId="43" fontId="122" fillId="0" borderId="0" xfId="374" applyFont="1" applyFill="1" applyAlignment="1">
      <alignment horizontal="left" vertical="center"/>
    </xf>
    <xf numFmtId="0" fontId="123" fillId="0" borderId="0" xfId="215" applyFont="1" applyFill="1" applyAlignment="1"/>
    <xf numFmtId="0" fontId="134" fillId="0" borderId="0" xfId="215" applyFont="1" applyFill="1" applyAlignment="1"/>
    <xf numFmtId="0" fontId="123" fillId="0" borderId="0" xfId="215" applyFont="1" applyFill="1" applyAlignment="1">
      <alignment horizontal="left" vertical="center"/>
    </xf>
    <xf numFmtId="0" fontId="122" fillId="0" borderId="0" xfId="0" applyFont="1" applyFill="1" applyAlignment="1">
      <alignment vertical="center"/>
    </xf>
    <xf numFmtId="43" fontId="87" fillId="0" borderId="0" xfId="405" applyFont="1" applyFill="1" applyBorder="1" applyAlignment="1" applyProtection="1">
      <alignment horizontal="left" vertical="center"/>
      <protection hidden="1"/>
    </xf>
    <xf numFmtId="14" fontId="87" fillId="0" borderId="0" xfId="216" applyNumberFormat="1" applyFont="1" applyFill="1" applyBorder="1" applyAlignment="1" applyProtection="1">
      <alignment horizontal="left" vertical="center"/>
      <protection hidden="1"/>
    </xf>
    <xf numFmtId="0" fontId="87" fillId="0" borderId="0" xfId="216" applyFont="1" applyFill="1" applyBorder="1" applyAlignment="1" applyProtection="1">
      <alignment horizontal="center" vertical="center"/>
      <protection hidden="1"/>
    </xf>
    <xf numFmtId="43" fontId="87" fillId="0" borderId="0" xfId="405" applyFont="1" applyFill="1" applyBorder="1" applyAlignment="1" applyProtection="1">
      <alignment horizontal="right" vertical="center"/>
      <protection hidden="1"/>
    </xf>
    <xf numFmtId="10" fontId="87" fillId="0" borderId="0" xfId="142" applyNumberFormat="1" applyFont="1" applyFill="1" applyBorder="1" applyAlignment="1" applyProtection="1">
      <alignment horizontal="right" vertical="center"/>
      <protection hidden="1"/>
    </xf>
    <xf numFmtId="0" fontId="87" fillId="0" borderId="0" xfId="216" applyFont="1" applyFill="1" applyBorder="1" applyAlignment="1" applyProtection="1">
      <alignment vertical="center"/>
      <protection hidden="1"/>
    </xf>
    <xf numFmtId="0" fontId="137" fillId="0" borderId="0" xfId="0" applyFont="1" applyFill="1" applyAlignment="1">
      <alignment vertical="center"/>
    </xf>
    <xf numFmtId="0" fontId="122" fillId="0" borderId="3" xfId="0" applyFont="1" applyFill="1" applyBorder="1" applyAlignment="1">
      <alignment vertical="center"/>
    </xf>
    <xf numFmtId="14" fontId="122" fillId="0" borderId="3" xfId="0" applyNumberFormat="1" applyFont="1" applyFill="1" applyBorder="1" applyAlignment="1">
      <alignment horizontal="center" vertical="center"/>
    </xf>
    <xf numFmtId="4" fontId="122" fillId="0" borderId="3" xfId="0" applyNumberFormat="1" applyFont="1" applyFill="1" applyBorder="1" applyAlignment="1">
      <alignment vertical="center"/>
    </xf>
    <xf numFmtId="43" fontId="122" fillId="0" borderId="3" xfId="439" applyFont="1" applyFill="1" applyBorder="1">
      <alignment vertical="center"/>
    </xf>
    <xf numFmtId="0" fontId="122" fillId="0" borderId="3" xfId="0" applyFont="1" applyFill="1" applyBorder="1" applyAlignment="1">
      <alignment vertical="center" shrinkToFit="1"/>
    </xf>
    <xf numFmtId="0" fontId="122" fillId="0" borderId="0" xfId="0" applyFont="1" applyFill="1" applyAlignment="1">
      <alignment horizontal="center" vertical="center"/>
    </xf>
    <xf numFmtId="0" fontId="122" fillId="0" borderId="0" xfId="0" applyFont="1" applyFill="1" applyAlignment="1">
      <alignment vertical="center" shrinkToFit="1"/>
    </xf>
    <xf numFmtId="0" fontId="122" fillId="0" borderId="0" xfId="0" applyFont="1" applyFill="1" applyBorder="1" applyAlignment="1">
      <alignment vertical="center"/>
    </xf>
    <xf numFmtId="14" fontId="122" fillId="0" borderId="0" xfId="0" applyNumberFormat="1" applyFont="1" applyFill="1" applyBorder="1" applyAlignment="1">
      <alignment vertical="center"/>
    </xf>
    <xf numFmtId="4" fontId="122" fillId="0" borderId="0" xfId="0" applyNumberFormat="1" applyFont="1" applyFill="1" applyBorder="1" applyAlignment="1">
      <alignment vertical="center"/>
    </xf>
    <xf numFmtId="0" fontId="122" fillId="0" borderId="0" xfId="0" applyFont="1" applyFill="1" applyBorder="1" applyAlignment="1">
      <alignment vertical="center" shrinkToFit="1"/>
    </xf>
    <xf numFmtId="0" fontId="137" fillId="0" borderId="0" xfId="0" applyFont="1" applyFill="1" applyAlignment="1">
      <alignment horizontal="center" vertical="center"/>
    </xf>
    <xf numFmtId="0" fontId="3" fillId="0" borderId="0" xfId="247" applyFont="1" applyFill="1" applyBorder="1" applyAlignment="1">
      <alignment vertical="center"/>
    </xf>
    <xf numFmtId="0" fontId="139" fillId="0" borderId="0" xfId="0" applyFont="1" applyFill="1" applyAlignment="1">
      <alignment vertical="center"/>
    </xf>
    <xf numFmtId="0" fontId="140" fillId="0" borderId="0" xfId="0" applyFont="1" applyFill="1"/>
    <xf numFmtId="0" fontId="0" fillId="0" borderId="0" xfId="0" applyFill="1" applyAlignment="1">
      <alignment vertical="center"/>
    </xf>
    <xf numFmtId="0" fontId="0" fillId="0" borderId="0" xfId="0" applyFill="1" applyAlignment="1">
      <alignment horizontal="center" vertical="center"/>
    </xf>
    <xf numFmtId="0" fontId="6" fillId="0" borderId="0" xfId="0" applyFont="1" applyFill="1" applyAlignment="1">
      <alignment vertical="center"/>
    </xf>
    <xf numFmtId="0" fontId="122" fillId="36" borderId="3" xfId="0" applyFont="1" applyFill="1" applyBorder="1" applyAlignment="1">
      <alignment horizontal="center" vertical="center" wrapText="1"/>
    </xf>
    <xf numFmtId="0" fontId="123" fillId="36" borderId="3" xfId="0" applyFont="1" applyFill="1" applyBorder="1" applyAlignment="1">
      <alignment horizontal="center" vertical="center" wrapText="1"/>
    </xf>
    <xf numFmtId="0" fontId="143" fillId="0" borderId="0" xfId="0" applyFont="1" applyFill="1" applyAlignment="1">
      <alignment vertical="center"/>
    </xf>
    <xf numFmtId="0" fontId="143" fillId="0" borderId="0" xfId="0" applyFont="1" applyFill="1" applyBorder="1" applyAlignment="1">
      <alignment vertical="center"/>
    </xf>
    <xf numFmtId="0" fontId="141" fillId="38" borderId="3" xfId="0" applyFont="1" applyFill="1" applyBorder="1" applyAlignment="1">
      <alignment horizontal="left" vertical="center"/>
    </xf>
    <xf numFmtId="0" fontId="122" fillId="39" borderId="3" xfId="216" applyFont="1" applyFill="1" applyBorder="1" applyAlignment="1" applyProtection="1">
      <alignment horizontal="center" vertical="center" wrapText="1"/>
      <protection hidden="1"/>
    </xf>
    <xf numFmtId="0" fontId="142" fillId="39" borderId="3" xfId="216" applyFont="1" applyFill="1" applyBorder="1" applyAlignment="1" applyProtection="1">
      <alignment horizontal="center" vertical="center" wrapText="1"/>
      <protection hidden="1"/>
    </xf>
    <xf numFmtId="49" fontId="130" fillId="0" borderId="0" xfId="0" applyNumberFormat="1" applyFont="1" applyAlignment="1">
      <alignment horizontal="left" vertical="center"/>
    </xf>
    <xf numFmtId="0" fontId="144" fillId="0" borderId="0" xfId="0" applyFont="1"/>
    <xf numFmtId="0" fontId="140" fillId="0" borderId="0" xfId="0" applyFont="1"/>
    <xf numFmtId="0" fontId="128" fillId="40" borderId="3" xfId="216" applyFont="1" applyFill="1" applyBorder="1" applyAlignment="1" applyProtection="1">
      <alignment horizontal="center" vertical="center"/>
      <protection hidden="1"/>
    </xf>
    <xf numFmtId="0" fontId="128" fillId="40" borderId="3" xfId="0" applyFont="1" applyFill="1" applyBorder="1" applyAlignment="1">
      <alignment horizontal="center" vertical="center"/>
    </xf>
    <xf numFmtId="0" fontId="134" fillId="40" borderId="3" xfId="0" applyFont="1" applyFill="1" applyBorder="1" applyAlignment="1">
      <alignment horizontal="center" vertical="center" wrapText="1"/>
    </xf>
    <xf numFmtId="0" fontId="146" fillId="39" borderId="3" xfId="216" applyFont="1" applyFill="1" applyBorder="1" applyAlignment="1" applyProtection="1">
      <alignment horizontal="center" vertical="center" wrapText="1"/>
      <protection hidden="1"/>
    </xf>
    <xf numFmtId="0" fontId="3" fillId="0" borderId="0" xfId="0" applyFont="1" applyAlignment="1">
      <alignment vertical="center" wrapText="1"/>
    </xf>
    <xf numFmtId="49" fontId="2" fillId="0" borderId="0" xfId="197" applyNumberFormat="1" applyFont="1" applyFill="1" applyAlignment="1" applyProtection="1">
      <alignment horizontal="center" vertical="center"/>
      <protection locked="0"/>
    </xf>
    <xf numFmtId="0" fontId="123" fillId="0" borderId="3" xfId="215" applyFont="1" applyFill="1" applyBorder="1" applyAlignment="1">
      <alignment horizontal="center" vertical="center"/>
    </xf>
    <xf numFmtId="0" fontId="4" fillId="34" borderId="20" xfId="0" applyFont="1" applyFill="1" applyBorder="1" applyAlignment="1" applyProtection="1">
      <alignment horizontal="left" vertical="center" wrapText="1"/>
      <protection hidden="1"/>
    </xf>
    <xf numFmtId="0" fontId="4" fillId="34" borderId="12" xfId="0" applyFont="1" applyFill="1" applyBorder="1" applyAlignment="1" applyProtection="1">
      <alignment horizontal="left" vertical="center" wrapText="1"/>
      <protection hidden="1"/>
    </xf>
    <xf numFmtId="0" fontId="4" fillId="34" borderId="8" xfId="0" applyFont="1" applyFill="1" applyBorder="1" applyAlignment="1" applyProtection="1">
      <alignment horizontal="left" vertical="center" wrapText="1"/>
      <protection hidden="1"/>
    </xf>
    <xf numFmtId="0" fontId="59" fillId="0" borderId="0" xfId="440" applyFont="1" applyFill="1" applyBorder="1" applyAlignment="1">
      <alignment horizontal="left" vertical="center" wrapText="1"/>
    </xf>
    <xf numFmtId="0" fontId="118" fillId="29" borderId="3" xfId="215" applyFont="1" applyFill="1" applyBorder="1" applyAlignment="1">
      <alignment horizontal="center" vertical="center"/>
    </xf>
    <xf numFmtId="0" fontId="4" fillId="0" borderId="14" xfId="0" applyFont="1" applyFill="1" applyBorder="1" applyAlignment="1" applyProtection="1">
      <alignment horizontal="center" vertical="center"/>
      <protection hidden="1"/>
    </xf>
    <xf numFmtId="0" fontId="4" fillId="0" borderId="10" xfId="0" applyFont="1" applyFill="1" applyBorder="1" applyAlignment="1" applyProtection="1">
      <alignment horizontal="center" vertical="center"/>
      <protection hidden="1"/>
    </xf>
    <xf numFmtId="0" fontId="118" fillId="0" borderId="3" xfId="215" applyFont="1" applyBorder="1" applyAlignment="1">
      <alignment horizontal="center" vertical="center" wrapText="1"/>
    </xf>
    <xf numFmtId="0" fontId="3" fillId="0" borderId="2" xfId="247" applyFont="1" applyFill="1" applyBorder="1" applyAlignment="1">
      <alignment horizontal="center" vertical="center"/>
    </xf>
    <xf numFmtId="0" fontId="3" fillId="0" borderId="15" xfId="247" applyFont="1" applyFill="1" applyBorder="1" applyAlignment="1">
      <alignment horizontal="center" vertical="center"/>
    </xf>
    <xf numFmtId="0" fontId="118" fillId="29" borderId="3" xfId="215" applyFont="1" applyFill="1" applyBorder="1" applyAlignment="1">
      <alignment horizontal="center" vertical="center" wrapText="1"/>
    </xf>
    <xf numFmtId="0" fontId="2" fillId="0" borderId="3" xfId="247" applyFont="1" applyFill="1" applyBorder="1" applyAlignment="1">
      <alignment horizontal="left" vertical="center"/>
    </xf>
    <xf numFmtId="0" fontId="2" fillId="28" borderId="3" xfId="0" applyFont="1" applyFill="1" applyBorder="1" applyAlignment="1" applyProtection="1">
      <alignment horizontal="left" vertical="center"/>
      <protection hidden="1"/>
    </xf>
    <xf numFmtId="0" fontId="59" fillId="0" borderId="0" xfId="440" applyFont="1" applyFill="1" applyBorder="1" applyAlignment="1">
      <alignment horizontal="left" vertical="center"/>
    </xf>
    <xf numFmtId="0" fontId="4" fillId="0" borderId="14" xfId="440" applyFont="1" applyFill="1" applyBorder="1" applyAlignment="1">
      <alignment horizontal="left" vertical="center" wrapText="1"/>
    </xf>
    <xf numFmtId="0" fontId="4" fillId="0" borderId="5" xfId="440" applyFont="1" applyFill="1" applyBorder="1" applyAlignment="1">
      <alignment horizontal="left" vertical="center" wrapText="1"/>
    </xf>
    <xf numFmtId="0" fontId="4" fillId="0" borderId="10" xfId="440" applyFont="1" applyFill="1" applyBorder="1" applyAlignment="1">
      <alignment horizontal="left" vertical="center" wrapText="1"/>
    </xf>
    <xf numFmtId="0" fontId="87" fillId="0" borderId="14" xfId="440" applyFont="1" applyFill="1" applyBorder="1" applyAlignment="1">
      <alignment horizontal="left" vertical="center" wrapText="1"/>
    </xf>
    <xf numFmtId="0" fontId="87" fillId="0" borderId="5" xfId="440" applyFont="1" applyFill="1" applyBorder="1" applyAlignment="1">
      <alignment horizontal="left" vertical="center" wrapText="1"/>
    </xf>
    <xf numFmtId="0" fontId="87" fillId="0" borderId="10" xfId="440" applyFont="1" applyFill="1" applyBorder="1" applyAlignment="1">
      <alignment horizontal="left" vertical="center" wrapText="1"/>
    </xf>
    <xf numFmtId="0" fontId="87" fillId="0" borderId="14" xfId="275" applyFont="1" applyBorder="1" applyAlignment="1">
      <alignment horizontal="left" vertical="center"/>
    </xf>
    <xf numFmtId="0" fontId="87" fillId="0" borderId="5" xfId="275" applyFont="1" applyBorder="1" applyAlignment="1">
      <alignment horizontal="left" vertical="center"/>
    </xf>
    <xf numFmtId="0" fontId="87" fillId="0" borderId="10" xfId="275" applyFont="1" applyBorder="1" applyAlignment="1">
      <alignment horizontal="left" vertical="center"/>
    </xf>
    <xf numFmtId="0" fontId="2" fillId="0" borderId="3" xfId="275" applyFont="1" applyBorder="1" applyAlignment="1">
      <alignment horizontal="left" vertical="center" wrapText="1"/>
    </xf>
    <xf numFmtId="0" fontId="2" fillId="28" borderId="3" xfId="0" applyFont="1" applyFill="1" applyBorder="1" applyAlignment="1" applyProtection="1">
      <alignment horizontal="center" vertical="center"/>
      <protection hidden="1"/>
    </xf>
    <xf numFmtId="0" fontId="6" fillId="34" borderId="3" xfId="441" applyFont="1" applyFill="1" applyBorder="1" applyAlignment="1">
      <alignment horizontal="left" vertical="center"/>
    </xf>
    <xf numFmtId="0" fontId="3" fillId="0" borderId="2" xfId="215" quotePrefix="1" applyFont="1" applyFill="1" applyBorder="1" applyAlignment="1">
      <alignment horizontal="center" vertical="center" wrapText="1"/>
    </xf>
    <xf numFmtId="0" fontId="3" fillId="0" borderId="15" xfId="215" applyFont="1" applyFill="1" applyBorder="1" applyAlignment="1">
      <alignment horizontal="center" vertical="center" wrapText="1"/>
    </xf>
    <xf numFmtId="0" fontId="3" fillId="0" borderId="7" xfId="215" applyFont="1" applyFill="1" applyBorder="1" applyAlignment="1">
      <alignment horizontal="center" vertical="center" wrapText="1"/>
    </xf>
    <xf numFmtId="0" fontId="3" fillId="0" borderId="2" xfId="215" applyFont="1" applyFill="1" applyBorder="1" applyAlignment="1">
      <alignment horizontal="center" vertical="center" wrapText="1"/>
    </xf>
    <xf numFmtId="0" fontId="123" fillId="0" borderId="14" xfId="215" applyFont="1" applyFill="1" applyBorder="1" applyAlignment="1">
      <alignment horizontal="left" vertical="top"/>
    </xf>
    <xf numFmtId="0" fontId="123" fillId="0" borderId="5" xfId="215" applyFont="1" applyFill="1" applyBorder="1" applyAlignment="1">
      <alignment horizontal="left" vertical="top"/>
    </xf>
    <xf numFmtId="0" fontId="123" fillId="0" borderId="10" xfId="215" applyFont="1" applyFill="1" applyBorder="1" applyAlignment="1">
      <alignment horizontal="left" vertical="top"/>
    </xf>
    <xf numFmtId="0" fontId="134" fillId="29" borderId="3" xfId="215" applyFont="1" applyFill="1" applyBorder="1" applyAlignment="1">
      <alignment horizontal="center" vertical="center"/>
    </xf>
    <xf numFmtId="0" fontId="123" fillId="0" borderId="3" xfId="215" applyFont="1" applyFill="1" applyBorder="1" applyAlignment="1">
      <alignment horizontal="center" vertical="center"/>
    </xf>
    <xf numFmtId="43" fontId="134" fillId="29" borderId="3" xfId="374" applyFont="1" applyFill="1" applyBorder="1" applyAlignment="1">
      <alignment horizontal="center" vertical="center"/>
    </xf>
    <xf numFmtId="43" fontId="122" fillId="0" borderId="3" xfId="215" applyNumberFormat="1" applyFont="1" applyFill="1" applyBorder="1" applyAlignment="1">
      <alignment horizontal="center" vertical="center"/>
    </xf>
    <xf numFmtId="43" fontId="122" fillId="28" borderId="3" xfId="374" applyFont="1" applyFill="1" applyBorder="1" applyAlignment="1">
      <alignment horizontal="center" vertical="center"/>
    </xf>
    <xf numFmtId="0" fontId="6" fillId="29" borderId="3" xfId="0" applyFont="1" applyFill="1" applyBorder="1" applyAlignment="1">
      <alignment horizontal="center" vertical="center"/>
    </xf>
    <xf numFmtId="0" fontId="3" fillId="0" borderId="3" xfId="0" applyFont="1" applyBorder="1" applyAlignment="1">
      <alignment horizontal="left" vertical="center"/>
    </xf>
    <xf numFmtId="10" fontId="122" fillId="31" borderId="3" xfId="142" applyNumberFormat="1" applyFont="1" applyFill="1" applyBorder="1" applyAlignment="1">
      <alignment horizontal="center" vertical="center"/>
    </xf>
    <xf numFmtId="0" fontId="98" fillId="0" borderId="0" xfId="440" applyFont="1" applyFill="1" applyBorder="1" applyAlignment="1">
      <alignment horizontal="left" vertical="center"/>
    </xf>
    <xf numFmtId="0" fontId="123" fillId="37" borderId="2" xfId="0" applyFont="1" applyFill="1" applyBorder="1" applyAlignment="1">
      <alignment horizontal="center" vertical="center" wrapText="1"/>
    </xf>
    <xf numFmtId="0" fontId="123" fillId="37" borderId="7" xfId="0" applyFont="1" applyFill="1" applyBorder="1" applyAlignment="1">
      <alignment horizontal="center" vertical="center" wrapText="1"/>
    </xf>
    <xf numFmtId="0" fontId="122" fillId="37" borderId="2" xfId="0" applyFont="1" applyFill="1" applyBorder="1" applyAlignment="1">
      <alignment horizontal="center" vertical="center" wrapText="1"/>
    </xf>
    <xf numFmtId="0" fontId="122" fillId="37" borderId="7" xfId="0" applyFont="1" applyFill="1" applyBorder="1" applyAlignment="1">
      <alignment horizontal="center" vertical="center" wrapText="1"/>
    </xf>
    <xf numFmtId="0" fontId="122" fillId="34" borderId="14" xfId="0" applyFont="1" applyFill="1" applyBorder="1" applyAlignment="1">
      <alignment horizontal="left" vertical="center"/>
    </xf>
    <xf numFmtId="0" fontId="122" fillId="34" borderId="5" xfId="0" applyFont="1" applyFill="1" applyBorder="1" applyAlignment="1">
      <alignment horizontal="left" vertical="center"/>
    </xf>
    <xf numFmtId="0" fontId="122" fillId="34" borderId="10" xfId="0" applyFont="1" applyFill="1" applyBorder="1" applyAlignment="1">
      <alignment horizontal="left" vertical="center"/>
    </xf>
    <xf numFmtId="0" fontId="123" fillId="39" borderId="14" xfId="0" applyFont="1" applyFill="1" applyBorder="1" applyAlignment="1">
      <alignment horizontal="center" vertical="center"/>
    </xf>
    <xf numFmtId="0" fontId="122" fillId="39" borderId="5" xfId="0" applyFont="1" applyFill="1" applyBorder="1" applyAlignment="1">
      <alignment horizontal="center" vertical="center"/>
    </xf>
    <xf numFmtId="0" fontId="122" fillId="39" borderId="10" xfId="0" applyFont="1" applyFill="1" applyBorder="1" applyAlignment="1">
      <alignment horizontal="center" vertical="center"/>
    </xf>
    <xf numFmtId="0" fontId="123" fillId="36" borderId="3" xfId="0" applyFont="1" applyFill="1" applyBorder="1" applyAlignment="1">
      <alignment horizontal="center" vertical="center"/>
    </xf>
    <xf numFmtId="0" fontId="122" fillId="0" borderId="17" xfId="0" applyFont="1" applyFill="1" applyBorder="1" applyAlignment="1">
      <alignment horizontal="left" vertical="center" wrapText="1"/>
    </xf>
    <xf numFmtId="0" fontId="122" fillId="0" borderId="18" xfId="0" applyFont="1" applyFill="1" applyBorder="1" applyAlignment="1">
      <alignment horizontal="left" vertical="center" wrapText="1"/>
    </xf>
    <xf numFmtId="0" fontId="122" fillId="0" borderId="19" xfId="0" applyFont="1" applyFill="1" applyBorder="1" applyAlignment="1">
      <alignment horizontal="left" vertical="center" wrapText="1"/>
    </xf>
    <xf numFmtId="0" fontId="122" fillId="0" borderId="16" xfId="0" applyFont="1" applyFill="1" applyBorder="1" applyAlignment="1">
      <alignment horizontal="left" vertical="center" wrapText="1"/>
    </xf>
    <xf numFmtId="0" fontId="122" fillId="0" borderId="0" xfId="0" applyFont="1" applyFill="1" applyBorder="1" applyAlignment="1">
      <alignment horizontal="left" vertical="center" wrapText="1"/>
    </xf>
    <xf numFmtId="0" fontId="122" fillId="0" borderId="13" xfId="0" applyFont="1" applyFill="1" applyBorder="1" applyAlignment="1">
      <alignment horizontal="left" vertical="center" wrapText="1"/>
    </xf>
    <xf numFmtId="0" fontId="123" fillId="0" borderId="20" xfId="0" applyFont="1" applyFill="1" applyBorder="1" applyAlignment="1">
      <alignment horizontal="left" vertical="top" wrapText="1"/>
    </xf>
    <xf numFmtId="0" fontId="122" fillId="0" borderId="12" xfId="0" applyFont="1" applyFill="1" applyBorder="1" applyAlignment="1">
      <alignment horizontal="left" vertical="top" wrapText="1"/>
    </xf>
    <xf numFmtId="0" fontId="122" fillId="0" borderId="8" xfId="0" applyFont="1" applyFill="1" applyBorder="1" applyAlignment="1">
      <alignment horizontal="left" vertical="top" wrapText="1"/>
    </xf>
    <xf numFmtId="0" fontId="122" fillId="0" borderId="17" xfId="0" applyFont="1" applyBorder="1" applyAlignment="1">
      <alignment horizontal="left" vertical="center" wrapText="1"/>
    </xf>
    <xf numFmtId="0" fontId="122" fillId="0" borderId="18" xfId="0" applyFont="1" applyBorder="1" applyAlignment="1">
      <alignment horizontal="left" vertical="center" wrapText="1"/>
    </xf>
    <xf numFmtId="0" fontId="122" fillId="0" borderId="19" xfId="0" applyFont="1" applyBorder="1" applyAlignment="1">
      <alignment horizontal="left" vertical="center" wrapText="1"/>
    </xf>
    <xf numFmtId="0" fontId="122" fillId="0" borderId="16" xfId="0" applyFont="1" applyBorder="1" applyAlignment="1">
      <alignment horizontal="left" vertical="center" wrapText="1"/>
    </xf>
    <xf numFmtId="0" fontId="122" fillId="0" borderId="0" xfId="0" applyFont="1" applyBorder="1" applyAlignment="1">
      <alignment horizontal="left" vertical="center" wrapText="1"/>
    </xf>
    <xf numFmtId="0" fontId="122" fillId="0" borderId="13" xfId="0" applyFont="1" applyBorder="1" applyAlignment="1">
      <alignment horizontal="left" vertical="center" wrapText="1"/>
    </xf>
    <xf numFmtId="0" fontId="122" fillId="0" borderId="20" xfId="0" applyFont="1" applyBorder="1" applyAlignment="1">
      <alignment horizontal="left" vertical="center" wrapText="1"/>
    </xf>
    <xf numFmtId="0" fontId="122" fillId="0" borderId="12" xfId="0" applyFont="1" applyBorder="1" applyAlignment="1">
      <alignment horizontal="left" vertical="center" wrapText="1"/>
    </xf>
    <xf numFmtId="0" fontId="122" fillId="0" borderId="8" xfId="0" applyFont="1" applyBorder="1" applyAlignment="1">
      <alignment horizontal="left" vertical="center" wrapText="1"/>
    </xf>
    <xf numFmtId="0" fontId="145" fillId="40" borderId="3" xfId="0" applyFont="1" applyFill="1" applyBorder="1" applyAlignment="1">
      <alignment horizontal="center" vertical="center"/>
    </xf>
    <xf numFmtId="205" fontId="145" fillId="39" borderId="3" xfId="0" applyNumberFormat="1" applyFont="1" applyFill="1" applyBorder="1" applyAlignment="1">
      <alignment horizontal="center" vertical="center"/>
    </xf>
    <xf numFmtId="0" fontId="134" fillId="37" borderId="2" xfId="0" applyFont="1" applyFill="1" applyBorder="1" applyAlignment="1">
      <alignment horizontal="center" vertical="center" wrapText="1"/>
    </xf>
    <xf numFmtId="0" fontId="134" fillId="37" borderId="7" xfId="0" applyFont="1" applyFill="1" applyBorder="1" applyAlignment="1">
      <alignment horizontal="center" vertical="center" wrapText="1"/>
    </xf>
    <xf numFmtId="0" fontId="134" fillId="37" borderId="2" xfId="0" applyFont="1" applyFill="1" applyBorder="1" applyAlignment="1">
      <alignment horizontal="center" vertical="center"/>
    </xf>
    <xf numFmtId="0" fontId="134" fillId="37" borderId="7" xfId="0" applyFont="1" applyFill="1" applyBorder="1" applyAlignment="1">
      <alignment horizontal="center" vertical="center"/>
    </xf>
    <xf numFmtId="0" fontId="60" fillId="29" borderId="0" xfId="0" applyFont="1" applyFill="1" applyAlignment="1" applyProtection="1">
      <alignment horizontal="center" vertical="center"/>
    </xf>
    <xf numFmtId="0" fontId="57" fillId="33" borderId="0" xfId="0" applyFont="1" applyFill="1" applyAlignment="1" applyProtection="1">
      <alignment horizontal="center" vertical="center"/>
    </xf>
    <xf numFmtId="49" fontId="2" fillId="28" borderId="10" xfId="0" applyNumberFormat="1" applyFont="1" applyFill="1" applyBorder="1" applyAlignment="1" applyProtection="1">
      <alignment horizontal="center" vertical="center"/>
      <protection locked="0"/>
    </xf>
    <xf numFmtId="49" fontId="2" fillId="28" borderId="3" xfId="0" applyNumberFormat="1" applyFont="1" applyFill="1" applyBorder="1" applyAlignment="1" applyProtection="1">
      <alignment horizontal="center" vertical="center"/>
      <protection locked="0"/>
    </xf>
    <xf numFmtId="0" fontId="2" fillId="0" borderId="3" xfId="0" applyFont="1" applyBorder="1" applyAlignment="1">
      <alignment vertical="center"/>
    </xf>
    <xf numFmtId="0" fontId="149" fillId="0" borderId="3" xfId="215" applyFont="1" applyFill="1" applyBorder="1" applyAlignment="1">
      <alignment vertical="center"/>
    </xf>
    <xf numFmtId="14" fontId="3" fillId="0" borderId="3" xfId="0" applyNumberFormat="1" applyFont="1" applyBorder="1" applyAlignment="1">
      <alignment vertical="center"/>
    </xf>
    <xf numFmtId="0" fontId="150" fillId="0" borderId="14" xfId="440" applyFont="1" applyFill="1" applyBorder="1" applyAlignment="1">
      <alignment horizontal="left" vertical="center" wrapText="1"/>
    </xf>
    <xf numFmtId="0" fontId="4" fillId="0" borderId="2" xfId="275" applyFont="1" applyBorder="1" applyAlignment="1">
      <alignment horizontal="center" vertical="center"/>
    </xf>
    <xf numFmtId="0" fontId="4" fillId="0" borderId="15" xfId="275" applyFont="1" applyBorder="1" applyAlignment="1">
      <alignment horizontal="center" vertical="center"/>
    </xf>
    <xf numFmtId="0" fontId="4" fillId="0" borderId="7" xfId="275" applyFont="1" applyBorder="1" applyAlignment="1">
      <alignment horizontal="center" vertical="center"/>
    </xf>
    <xf numFmtId="0" fontId="87" fillId="0" borderId="2" xfId="275" applyFont="1" applyBorder="1" applyAlignment="1">
      <alignment horizontal="center" vertical="center"/>
    </xf>
    <xf numFmtId="0" fontId="87" fillId="0" borderId="15" xfId="275" applyFont="1" applyBorder="1" applyAlignment="1">
      <alignment horizontal="center" vertical="center"/>
    </xf>
    <xf numFmtId="0" fontId="87" fillId="0" borderId="7" xfId="275" applyFont="1" applyBorder="1" applyAlignment="1">
      <alignment horizontal="center" vertical="center"/>
    </xf>
    <xf numFmtId="0" fontId="6" fillId="29" borderId="14" xfId="441" applyFont="1" applyFill="1" applyBorder="1" applyAlignment="1">
      <alignment horizontal="center" vertical="center" wrapText="1"/>
    </xf>
    <xf numFmtId="0" fontId="6" fillId="29" borderId="5" xfId="441" applyFont="1" applyFill="1" applyBorder="1" applyAlignment="1">
      <alignment horizontal="center" vertical="center" wrapText="1"/>
    </xf>
    <xf numFmtId="0" fontId="6" fillId="29" borderId="10" xfId="441" applyFont="1" applyFill="1" applyBorder="1" applyAlignment="1">
      <alignment horizontal="center" vertical="center" wrapText="1"/>
    </xf>
    <xf numFmtId="43" fontId="149" fillId="35" borderId="3" xfId="381" applyNumberFormat="1" applyFont="1" applyFill="1" applyBorder="1" applyAlignment="1" applyProtection="1">
      <alignment vertical="center"/>
      <protection locked="0"/>
    </xf>
    <xf numFmtId="203" fontId="148" fillId="0" borderId="3" xfId="197" applyNumberFormat="1" applyFont="1" applyFill="1" applyBorder="1" applyAlignment="1" applyProtection="1">
      <alignment vertical="center"/>
      <protection locked="0"/>
    </xf>
    <xf numFmtId="0" fontId="2" fillId="0" borderId="2" xfId="215" applyFont="1" applyFill="1" applyBorder="1" applyAlignment="1">
      <alignment horizontal="center" vertical="center" wrapText="1"/>
    </xf>
    <xf numFmtId="0" fontId="151" fillId="34" borderId="14" xfId="0" applyFont="1" applyFill="1" applyBorder="1" applyAlignment="1">
      <alignment horizontal="left" vertical="center"/>
    </xf>
    <xf numFmtId="0" fontId="122" fillId="0" borderId="7" xfId="0" applyFont="1" applyFill="1" applyBorder="1" applyAlignment="1">
      <alignment vertical="center"/>
    </xf>
    <xf numFmtId="0" fontId="149" fillId="0" borderId="3" xfId="0" applyFont="1" applyFill="1" applyBorder="1" applyAlignment="1">
      <alignment vertical="center"/>
    </xf>
    <xf numFmtId="43" fontId="122" fillId="0" borderId="3" xfId="439" applyFont="1" applyFill="1" applyBorder="1" applyAlignment="1">
      <alignment vertical="center"/>
    </xf>
    <xf numFmtId="14" fontId="122" fillId="0" borderId="3" xfId="0" applyNumberFormat="1" applyFont="1" applyFill="1" applyBorder="1" applyAlignment="1">
      <alignment horizontal="left" vertical="center"/>
    </xf>
    <xf numFmtId="43" fontId="122" fillId="0" borderId="3" xfId="439" applyFont="1" applyFill="1" applyBorder="1" applyAlignment="1">
      <alignment horizontal="left" vertical="center"/>
    </xf>
    <xf numFmtId="43" fontId="122" fillId="0" borderId="3" xfId="439" applyFont="1" applyFill="1" applyBorder="1" applyAlignment="1">
      <alignment horizontal="center" vertical="center"/>
    </xf>
    <xf numFmtId="0" fontId="134" fillId="41" borderId="17" xfId="0" applyFont="1" applyFill="1" applyBorder="1" applyAlignment="1">
      <alignment horizontal="center" vertical="center" wrapText="1"/>
    </xf>
    <xf numFmtId="0" fontId="134" fillId="41" borderId="19" xfId="0" applyFont="1" applyFill="1" applyBorder="1" applyAlignment="1">
      <alignment horizontal="center" vertical="center" wrapText="1"/>
    </xf>
    <xf numFmtId="0" fontId="134" fillId="41" borderId="20" xfId="0" applyFont="1" applyFill="1" applyBorder="1" applyAlignment="1">
      <alignment horizontal="center" vertical="center" wrapText="1"/>
    </xf>
    <xf numFmtId="0" fontId="134" fillId="41" borderId="8" xfId="0" applyFont="1" applyFill="1" applyBorder="1" applyAlignment="1">
      <alignment horizontal="center" vertical="center" wrapText="1"/>
    </xf>
    <xf numFmtId="43" fontId="122" fillId="0" borderId="7" xfId="439" applyFont="1" applyFill="1" applyBorder="1" applyAlignment="1">
      <alignment vertical="center"/>
    </xf>
    <xf numFmtId="0" fontId="149" fillId="0" borderId="7" xfId="0" applyFont="1" applyFill="1" applyBorder="1" applyAlignment="1">
      <alignment vertical="center"/>
    </xf>
    <xf numFmtId="14" fontId="122" fillId="0" borderId="3" xfId="0" applyNumberFormat="1" applyFont="1" applyFill="1" applyBorder="1" applyAlignment="1">
      <alignment vertical="center"/>
    </xf>
    <xf numFmtId="14" fontId="3" fillId="0" borderId="0" xfId="0" applyNumberFormat="1" applyFont="1" applyAlignment="1">
      <alignment vertical="center"/>
    </xf>
    <xf numFmtId="14" fontId="3" fillId="31" borderId="5" xfId="0" applyNumberFormat="1" applyFont="1" applyFill="1" applyBorder="1" applyAlignment="1">
      <alignment vertical="center"/>
    </xf>
    <xf numFmtId="14" fontId="146" fillId="39" borderId="3" xfId="216" applyNumberFormat="1" applyFont="1" applyFill="1" applyBorder="1" applyAlignment="1" applyProtection="1">
      <alignment horizontal="center" vertical="center" wrapText="1"/>
      <protection hidden="1"/>
    </xf>
    <xf numFmtId="14" fontId="144" fillId="0" borderId="0" xfId="0" applyNumberFormat="1" applyFont="1"/>
    <xf numFmtId="43" fontId="122" fillId="0" borderId="3" xfId="0" applyNumberFormat="1" applyFont="1" applyFill="1" applyBorder="1" applyAlignment="1">
      <alignment vertical="center"/>
    </xf>
    <xf numFmtId="0" fontId="122" fillId="0" borderId="3" xfId="0" applyNumberFormat="1" applyFont="1" applyFill="1" applyBorder="1" applyAlignment="1">
      <alignment vertical="center"/>
    </xf>
  </cellXfs>
  <cellStyles count="444">
    <cellStyle name="_15长期待摊费用0512" xfId="1" xr:uid="{00000000-0005-0000-0000-000000000000}"/>
    <cellStyle name="_2007终审资料1.22." xfId="2" xr:uid="{00000000-0005-0000-0000-000001000000}"/>
    <cellStyle name="_Book1" xfId="3" xr:uid="{00000000-0005-0000-0000-000002000000}"/>
    <cellStyle name="_ET_STYLE_NoName_00_" xfId="4" xr:uid="{00000000-0005-0000-0000-000003000000}"/>
    <cellStyle name="_J - Sept 2004" xfId="5" xr:uid="{00000000-0005-0000-0000-000004000000}"/>
    <cellStyle name="_key management" xfId="6" xr:uid="{00000000-0005-0000-0000-000005000000}"/>
    <cellStyle name="_Table" xfId="7" xr:uid="{00000000-0005-0000-0000-000006000000}"/>
    <cellStyle name="_新金域底稿" xfId="8" xr:uid="{00000000-0005-0000-0000-000007000000}"/>
    <cellStyle name="_一部底稿" xfId="9" xr:uid="{00000000-0005-0000-0000-000008000000}"/>
    <cellStyle name="0,0_x000a__x000a_NA_x000a__x000a_" xfId="10" xr:uid="{00000000-0005-0000-0000-000009000000}"/>
    <cellStyle name="0,0_x000d__x000a_NA_x000d__x000a_" xfId="11" xr:uid="{00000000-0005-0000-0000-00000A000000}"/>
    <cellStyle name="00" xfId="12" xr:uid="{00000000-0005-0000-0000-00000B000000}"/>
    <cellStyle name="³¬¼¶Á´½Ó" xfId="13" xr:uid="{00000000-0005-0000-0000-00000C000000}"/>
    <cellStyle name="3232" xfId="14" xr:uid="{00000000-0005-0000-0000-00000D000000}"/>
    <cellStyle name="Accent1" xfId="15" xr:uid="{00000000-0005-0000-0000-00000E000000}"/>
    <cellStyle name="Accent1 - 20%" xfId="16" xr:uid="{00000000-0005-0000-0000-00000F000000}"/>
    <cellStyle name="Accent1 - 40%" xfId="17" xr:uid="{00000000-0005-0000-0000-000010000000}"/>
    <cellStyle name="Accent1 - 60%" xfId="18" xr:uid="{00000000-0005-0000-0000-000011000000}"/>
    <cellStyle name="Accent2" xfId="19" xr:uid="{00000000-0005-0000-0000-000012000000}"/>
    <cellStyle name="Accent2 - 20%" xfId="20" xr:uid="{00000000-0005-0000-0000-000013000000}"/>
    <cellStyle name="Accent2 - 40%" xfId="21" xr:uid="{00000000-0005-0000-0000-000014000000}"/>
    <cellStyle name="Accent2 - 60%" xfId="22" xr:uid="{00000000-0005-0000-0000-000015000000}"/>
    <cellStyle name="Accent3" xfId="23" xr:uid="{00000000-0005-0000-0000-000016000000}"/>
    <cellStyle name="Accent3 - 20%" xfId="24" xr:uid="{00000000-0005-0000-0000-000017000000}"/>
    <cellStyle name="Accent3 - 40%" xfId="25" xr:uid="{00000000-0005-0000-0000-000018000000}"/>
    <cellStyle name="Accent3 - 60%" xfId="26" xr:uid="{00000000-0005-0000-0000-000019000000}"/>
    <cellStyle name="Accent4" xfId="27" xr:uid="{00000000-0005-0000-0000-00001A000000}"/>
    <cellStyle name="Accent4 - 20%" xfId="28" xr:uid="{00000000-0005-0000-0000-00001B000000}"/>
    <cellStyle name="Accent4 - 40%" xfId="29" xr:uid="{00000000-0005-0000-0000-00001C000000}"/>
    <cellStyle name="Accent4 - 60%" xfId="30" xr:uid="{00000000-0005-0000-0000-00001D000000}"/>
    <cellStyle name="Accent5" xfId="31" xr:uid="{00000000-0005-0000-0000-00001E000000}"/>
    <cellStyle name="Accent5 - 20%" xfId="32" xr:uid="{00000000-0005-0000-0000-00001F000000}"/>
    <cellStyle name="Accent5 - 40%" xfId="33" xr:uid="{00000000-0005-0000-0000-000020000000}"/>
    <cellStyle name="Accent5 - 60%" xfId="34" xr:uid="{00000000-0005-0000-0000-000021000000}"/>
    <cellStyle name="Accent6" xfId="35" xr:uid="{00000000-0005-0000-0000-000022000000}"/>
    <cellStyle name="Accent6 - 20%" xfId="36" xr:uid="{00000000-0005-0000-0000-000023000000}"/>
    <cellStyle name="Accent6 - 40%" xfId="37" xr:uid="{00000000-0005-0000-0000-000024000000}"/>
    <cellStyle name="Accent6 - 60%" xfId="38" xr:uid="{00000000-0005-0000-0000-000025000000}"/>
    <cellStyle name="bear标题" xfId="39" xr:uid="{00000000-0005-0000-0000-000026000000}"/>
    <cellStyle name="Ç§·ÖÎ»[0]_Book2" xfId="40" xr:uid="{00000000-0005-0000-0000-000027000000}"/>
    <cellStyle name="Ç§·ÖÎ»_Book2" xfId="41" xr:uid="{00000000-0005-0000-0000-000028000000}"/>
    <cellStyle name="Ç§Î»·Ö¸ô[0]_99I brkdwn package-subsid" xfId="42" xr:uid="{00000000-0005-0000-0000-000029000000}"/>
    <cellStyle name="Ç§Î»·Ö¸ô_99I brkdwn package-subsid" xfId="43" xr:uid="{00000000-0005-0000-0000-00002A000000}"/>
    <cellStyle name="Calc Currency (0)" xfId="44" xr:uid="{00000000-0005-0000-0000-00002B000000}"/>
    <cellStyle name="category" xfId="45" xr:uid="{00000000-0005-0000-0000-00002C000000}"/>
    <cellStyle name="Column_Title" xfId="46" xr:uid="{00000000-0005-0000-0000-00002D000000}"/>
    <cellStyle name="ColumnAttributeAbovePrompt" xfId="47" xr:uid="{00000000-0005-0000-0000-00002E000000}"/>
    <cellStyle name="ColumnAttributePrompt" xfId="48" xr:uid="{00000000-0005-0000-0000-00002F000000}"/>
    <cellStyle name="ColumnAttributeValue" xfId="49" xr:uid="{00000000-0005-0000-0000-000030000000}"/>
    <cellStyle name="ColumnHeadingPrompt" xfId="50" xr:uid="{00000000-0005-0000-0000-000031000000}"/>
    <cellStyle name="ColumnHeadingValue" xfId="51" xr:uid="{00000000-0005-0000-0000-000032000000}"/>
    <cellStyle name="Comma  - Style1" xfId="52" xr:uid="{00000000-0005-0000-0000-000033000000}"/>
    <cellStyle name="Comma  - Style2" xfId="53" xr:uid="{00000000-0005-0000-0000-000034000000}"/>
    <cellStyle name="Comma  - Style3" xfId="54" xr:uid="{00000000-0005-0000-0000-000035000000}"/>
    <cellStyle name="Comma  - Style4" xfId="55" xr:uid="{00000000-0005-0000-0000-000036000000}"/>
    <cellStyle name="Comma  - Style5" xfId="56" xr:uid="{00000000-0005-0000-0000-000037000000}"/>
    <cellStyle name="Comma  - Style6" xfId="57" xr:uid="{00000000-0005-0000-0000-000038000000}"/>
    <cellStyle name="Comma  - Style7" xfId="58" xr:uid="{00000000-0005-0000-0000-000039000000}"/>
    <cellStyle name="Comma  - Style8" xfId="59" xr:uid="{00000000-0005-0000-0000-00003A000000}"/>
    <cellStyle name="Comma [0]_ SG&amp;A Bridge " xfId="60" xr:uid="{00000000-0005-0000-0000-00003B000000}"/>
    <cellStyle name="comma zerodec" xfId="61" xr:uid="{00000000-0005-0000-0000-00003C000000}"/>
    <cellStyle name="Comma_ SG&amp;A Bridge " xfId="62" xr:uid="{00000000-0005-0000-0000-00003D000000}"/>
    <cellStyle name="comma-d" xfId="63" xr:uid="{00000000-0005-0000-0000-00003E000000}"/>
    <cellStyle name="Currency [0]_ SG&amp;A Bridge " xfId="64" xr:uid="{00000000-0005-0000-0000-00003F000000}"/>
    <cellStyle name="Currency_ SG&amp;A Bridge " xfId="65" xr:uid="{00000000-0005-0000-0000-000040000000}"/>
    <cellStyle name="Currency1" xfId="66" xr:uid="{00000000-0005-0000-0000-000041000000}"/>
    <cellStyle name="Date" xfId="67" xr:uid="{00000000-0005-0000-0000-000042000000}"/>
    <cellStyle name="Dollar (zero dec)" xfId="68" xr:uid="{00000000-0005-0000-0000-000043000000}"/>
    <cellStyle name="E&amp;Y House" xfId="69" xr:uid="{00000000-0005-0000-0000-000044000000}"/>
    <cellStyle name="entry" xfId="70" xr:uid="{00000000-0005-0000-0000-000045000000}"/>
    <cellStyle name="entry box" xfId="71" xr:uid="{00000000-0005-0000-0000-000046000000}"/>
    <cellStyle name="Euro" xfId="72" xr:uid="{00000000-0005-0000-0000-000047000000}"/>
    <cellStyle name="Grey" xfId="73" xr:uid="{00000000-0005-0000-0000-000048000000}"/>
    <cellStyle name="HEADER" xfId="74" xr:uid="{00000000-0005-0000-0000-000049000000}"/>
    <cellStyle name="Header1" xfId="75" xr:uid="{00000000-0005-0000-0000-00004A000000}"/>
    <cellStyle name="Header2" xfId="76" xr:uid="{00000000-0005-0000-0000-00004B000000}"/>
    <cellStyle name="Input [yellow]" xfId="77" xr:uid="{00000000-0005-0000-0000-00004C000000}"/>
    <cellStyle name="LineItemPrompt" xfId="78" xr:uid="{00000000-0005-0000-0000-00004D000000}"/>
    <cellStyle name="LineItemValue" xfId="79" xr:uid="{00000000-0005-0000-0000-00004E000000}"/>
    <cellStyle name="Model" xfId="80" xr:uid="{00000000-0005-0000-0000-00004F000000}"/>
    <cellStyle name="New Times Roman" xfId="81" xr:uid="{00000000-0005-0000-0000-000050000000}"/>
    <cellStyle name="no dec" xfId="82" xr:uid="{00000000-0005-0000-0000-000051000000}"/>
    <cellStyle name="Normal - Style1" xfId="83" xr:uid="{00000000-0005-0000-0000-000052000000}"/>
    <cellStyle name="Normal_ SG&amp;A Bridge " xfId="84" xr:uid="{00000000-0005-0000-0000-000053000000}"/>
    <cellStyle name="Normalny_Arkusz1" xfId="85" xr:uid="{00000000-0005-0000-0000-000054000000}"/>
    <cellStyle name="Ò»°ã_Book2" xfId="86" xr:uid="{00000000-0005-0000-0000-000055000000}"/>
    <cellStyle name="ØÅ [0]_Book2" xfId="87" xr:uid="{00000000-0005-0000-0000-000056000000}"/>
    <cellStyle name="ØÅ_Book2" xfId="88" xr:uid="{00000000-0005-0000-0000-000057000000}"/>
    <cellStyle name="OUTPUT AMOUNTS" xfId="89" xr:uid="{00000000-0005-0000-0000-000058000000}"/>
    <cellStyle name="OUTPUT COLUMN HEADINGS" xfId="90" xr:uid="{00000000-0005-0000-0000-000059000000}"/>
    <cellStyle name="OUTPUT LINE ITEMS" xfId="91" xr:uid="{00000000-0005-0000-0000-00005A000000}"/>
    <cellStyle name="OUTPUT REPORT HEADING" xfId="92" xr:uid="{00000000-0005-0000-0000-00005B000000}"/>
    <cellStyle name="OUTPUT REPORT TITLE" xfId="93" xr:uid="{00000000-0005-0000-0000-00005C000000}"/>
    <cellStyle name="Percent [2]" xfId="94" xr:uid="{00000000-0005-0000-0000-00005D000000}"/>
    <cellStyle name="Prefilled" xfId="95" xr:uid="{00000000-0005-0000-0000-00005E000000}"/>
    <cellStyle name="price" xfId="96" xr:uid="{00000000-0005-0000-0000-00005F000000}"/>
    <cellStyle name="ReportTitlePrompt" xfId="97" xr:uid="{00000000-0005-0000-0000-000060000000}"/>
    <cellStyle name="ReportTitleValue" xfId="98" xr:uid="{00000000-0005-0000-0000-000061000000}"/>
    <cellStyle name="revised" xfId="99" xr:uid="{00000000-0005-0000-0000-000062000000}"/>
    <cellStyle name="row_def_array" xfId="100" xr:uid="{00000000-0005-0000-0000-000063000000}"/>
    <cellStyle name="RowAcctAbovePrompt" xfId="101" xr:uid="{00000000-0005-0000-0000-000064000000}"/>
    <cellStyle name="RowAcctSOBAbovePrompt" xfId="102" xr:uid="{00000000-0005-0000-0000-000065000000}"/>
    <cellStyle name="RowAcctSOBValue" xfId="103" xr:uid="{00000000-0005-0000-0000-000066000000}"/>
    <cellStyle name="RowAcctValue" xfId="104" xr:uid="{00000000-0005-0000-0000-000067000000}"/>
    <cellStyle name="RowAttrAbovePrompt" xfId="105" xr:uid="{00000000-0005-0000-0000-000068000000}"/>
    <cellStyle name="RowAttrValue" xfId="106" xr:uid="{00000000-0005-0000-0000-000069000000}"/>
    <cellStyle name="RowColSetAbovePrompt" xfId="107" xr:uid="{00000000-0005-0000-0000-00006A000000}"/>
    <cellStyle name="RowColSetLeftPrompt" xfId="108" xr:uid="{00000000-0005-0000-0000-00006B000000}"/>
    <cellStyle name="RowColSetValue" xfId="109" xr:uid="{00000000-0005-0000-0000-00006C000000}"/>
    <cellStyle name="RowLeftPrompt" xfId="110" xr:uid="{00000000-0005-0000-0000-00006D000000}"/>
    <cellStyle name="SampleUsingFormatMask" xfId="111" xr:uid="{00000000-0005-0000-0000-00006E000000}"/>
    <cellStyle name="SampleWithNoFormatMask" xfId="112" xr:uid="{00000000-0005-0000-0000-00006F000000}"/>
    <cellStyle name="section" xfId="113" xr:uid="{00000000-0005-0000-0000-000070000000}"/>
    <cellStyle name="SingleLineAcctgn" xfId="114" xr:uid="{00000000-0005-0000-0000-000071000000}"/>
    <cellStyle name="subhead" xfId="115" xr:uid="{00000000-0005-0000-0000-000072000000}"/>
    <cellStyle name="t]_x000d__x000a_color schemes=默认 Windows_x000d__x000a__x000d__x000a_[color schemes]_x000d__x000a_Arizona=804000,FFFFFF,FFFFFF,0,FFFFFF,0,808040,C0C0C0,FFFFF" xfId="116" xr:uid="{00000000-0005-0000-0000-000073000000}"/>
    <cellStyle name="title" xfId="117" xr:uid="{00000000-0005-0000-0000-000074000000}"/>
    <cellStyle name="UploadThisRowValue" xfId="118" xr:uid="{00000000-0005-0000-0000-000075000000}"/>
    <cellStyle name="タ盽 - Style1" xfId="119" xr:uid="{00000000-0005-0000-0000-000076000000}"/>
    <cellStyle name="タ盽 - Style2" xfId="120" xr:uid="{00000000-0005-0000-0000-000077000000}"/>
    <cellStyle name="タ盽 - Style3" xfId="121" xr:uid="{00000000-0005-0000-0000-000078000000}"/>
    <cellStyle name="タ盽 - Style4" xfId="122" xr:uid="{00000000-0005-0000-0000-000079000000}"/>
    <cellStyle name="タ盽 - Style5" xfId="123" xr:uid="{00000000-0005-0000-0000-00007A000000}"/>
    <cellStyle name="タ盽 - Style6" xfId="124" xr:uid="{00000000-0005-0000-0000-00007B000000}"/>
    <cellStyle name="タ盽 - Style7" xfId="125" xr:uid="{00000000-0005-0000-0000-00007C000000}"/>
    <cellStyle name="タ盽 - Style8" xfId="126" xr:uid="{00000000-0005-0000-0000-00007D000000}"/>
    <cellStyle name="パーセント_laroux" xfId="127" xr:uid="{00000000-0005-0000-0000-00007E000000}"/>
    <cellStyle name="_laroux" xfId="128" xr:uid="{00000000-0005-0000-0000-00007F000000}"/>
    <cellStyle name="だ[0]_PLDT" xfId="129" xr:uid="{00000000-0005-0000-0000-000080000000}"/>
    <cellStyle name="だ_laroux" xfId="130" xr:uid="{00000000-0005-0000-0000-000081000000}"/>
    <cellStyle name="百分比 10" xfId="131" xr:uid="{00000000-0005-0000-0000-000082000000}"/>
    <cellStyle name="百分比 11" xfId="132" xr:uid="{00000000-0005-0000-0000-000083000000}"/>
    <cellStyle name="百分比 12" xfId="133" xr:uid="{00000000-0005-0000-0000-000084000000}"/>
    <cellStyle name="百分比 13" xfId="134" xr:uid="{00000000-0005-0000-0000-000085000000}"/>
    <cellStyle name="百分比 13 2" xfId="135" xr:uid="{00000000-0005-0000-0000-000086000000}"/>
    <cellStyle name="百分比 14" xfId="136" xr:uid="{00000000-0005-0000-0000-000087000000}"/>
    <cellStyle name="百分比 14 2" xfId="137" xr:uid="{00000000-0005-0000-0000-000088000000}"/>
    <cellStyle name="百分比 15" xfId="138" xr:uid="{00000000-0005-0000-0000-000089000000}"/>
    <cellStyle name="百分比 15 2" xfId="139" xr:uid="{00000000-0005-0000-0000-00008A000000}"/>
    <cellStyle name="百分比 16" xfId="140" xr:uid="{00000000-0005-0000-0000-00008B000000}"/>
    <cellStyle name="百分比 17" xfId="141" xr:uid="{00000000-0005-0000-0000-00008C000000}"/>
    <cellStyle name="百分比 2" xfId="142" xr:uid="{00000000-0005-0000-0000-00008D000000}"/>
    <cellStyle name="百分比 2 2" xfId="143" xr:uid="{00000000-0005-0000-0000-00008E000000}"/>
    <cellStyle name="百分比 2 3" xfId="144" xr:uid="{00000000-0005-0000-0000-00008F000000}"/>
    <cellStyle name="百分比 2 4" xfId="145" xr:uid="{00000000-0005-0000-0000-000090000000}"/>
    <cellStyle name="百分比 3" xfId="146" xr:uid="{00000000-0005-0000-0000-000091000000}"/>
    <cellStyle name="百分比 3 2" xfId="147" xr:uid="{00000000-0005-0000-0000-000092000000}"/>
    <cellStyle name="百分比 4" xfId="148" xr:uid="{00000000-0005-0000-0000-000093000000}"/>
    <cellStyle name="百分比 5" xfId="149" xr:uid="{00000000-0005-0000-0000-000094000000}"/>
    <cellStyle name="百分比 6" xfId="150" xr:uid="{00000000-0005-0000-0000-000095000000}"/>
    <cellStyle name="百分比 7" xfId="151" xr:uid="{00000000-0005-0000-0000-000096000000}"/>
    <cellStyle name="百分比 8" xfId="152" xr:uid="{00000000-0005-0000-0000-000097000000}"/>
    <cellStyle name="百分比 9" xfId="153" xr:uid="{00000000-0005-0000-0000-000098000000}"/>
    <cellStyle name="捠壿 [0.00]_PRODUCT DETAIL Q1" xfId="154" xr:uid="{00000000-0005-0000-0000-000099000000}"/>
    <cellStyle name="捠壿_PRODUCT DETAIL Q1" xfId="155" xr:uid="{00000000-0005-0000-0000-00009A000000}"/>
    <cellStyle name="编号" xfId="156" xr:uid="{00000000-0005-0000-0000-00009B000000}"/>
    <cellStyle name="标题1" xfId="157" xr:uid="{00000000-0005-0000-0000-00009C000000}"/>
    <cellStyle name="标题bear" xfId="158" xr:uid="{00000000-0005-0000-0000-00009D000000}"/>
    <cellStyle name="標準_１１月価格表" xfId="159" xr:uid="{00000000-0005-0000-0000-00009E000000}"/>
    <cellStyle name="表标题" xfId="160" xr:uid="{00000000-0005-0000-0000-00009F000000}"/>
    <cellStyle name="部门" xfId="161" xr:uid="{00000000-0005-0000-0000-0000A0000000}"/>
    <cellStyle name="差_07年明珠企业预填" xfId="162" xr:uid="{00000000-0005-0000-0000-0000A1000000}"/>
    <cellStyle name="差_08年审企业预填表-药业" xfId="163" xr:uid="{00000000-0005-0000-0000-0000A2000000}"/>
    <cellStyle name="差_2006明珠－收入成本" xfId="164" xr:uid="{00000000-0005-0000-0000-0000A3000000}"/>
    <cellStyle name="差_2007年矿粉收入.成本" xfId="165" xr:uid="{00000000-0005-0000-0000-0000A4000000}"/>
    <cellStyle name="差_A4-1" xfId="166" xr:uid="{00000000-0005-0000-0000-0000A5000000}"/>
    <cellStyle name="差_A8-1" xfId="167" xr:uid="{00000000-0005-0000-0000-0000A6000000}"/>
    <cellStyle name="差_C1-3" xfId="168" xr:uid="{00000000-0005-0000-0000-0000A7000000}"/>
    <cellStyle name="差_Sheet1" xfId="169" xr:uid="{00000000-0005-0000-0000-0000A8000000}"/>
    <cellStyle name="差_本部12月份重分类" xfId="170" xr:uid="{00000000-0005-0000-0000-0000A9000000}"/>
    <cellStyle name="差_本部12月份重分类_08威华股份预填" xfId="171" xr:uid="{00000000-0005-0000-0000-0000AA000000}"/>
    <cellStyle name="差_本部12月份重分类_A9-6-2" xfId="172" xr:uid="{00000000-0005-0000-0000-0000AB000000}"/>
    <cellStyle name="差_本部12月份重分类_采购2008" xfId="173" xr:uid="{00000000-0005-0000-0000-0000AC000000}"/>
    <cellStyle name="差_本部12月份重分类_收入成本底稿" xfId="174" xr:uid="{00000000-0005-0000-0000-0000AD000000}"/>
    <cellStyle name="差_本部12月份重分类_所有者权益" xfId="175" xr:uid="{00000000-0005-0000-0000-0000AE000000}"/>
    <cellStyle name="差_本部12月份重分类_销售2008" xfId="176" xr:uid="{00000000-0005-0000-0000-0000AF000000}"/>
    <cellStyle name="差_本部费用" xfId="177" xr:uid="{00000000-0005-0000-0000-0000B0000000}"/>
    <cellStyle name="差_产品成本分析" xfId="178" xr:uid="{00000000-0005-0000-0000-0000B1000000}"/>
    <cellStyle name="差_购销合同-半成品-锆业" xfId="179" xr:uid="{00000000-0005-0000-0000-0000B2000000}"/>
    <cellStyle name="差_广东明珠本部底稿2007.12.31(潘)" xfId="180" xr:uid="{00000000-0005-0000-0000-0000B3000000}"/>
    <cellStyle name="差_广阀2007年审计工作底稿（潘） 2007.12.31" xfId="181" xr:uid="{00000000-0005-0000-0000-0000B4000000}"/>
    <cellStyle name="差_广阀2007年审计工作底稿（潘） 2007.12.31_08威华股份预填" xfId="182" xr:uid="{00000000-0005-0000-0000-0000B5000000}"/>
    <cellStyle name="差_广阀2007年审计工作底稿（潘） 2007.12.31_A9-6-2" xfId="183" xr:uid="{00000000-0005-0000-0000-0000B6000000}"/>
    <cellStyle name="差_广阀2007年审计工作底稿（潘） 2007.12.31_采购2008" xfId="184" xr:uid="{00000000-0005-0000-0000-0000B7000000}"/>
    <cellStyle name="差_广阀2007年审计工作底稿（潘） 2007.12.31_收入成本底稿" xfId="185" xr:uid="{00000000-0005-0000-0000-0000B8000000}"/>
    <cellStyle name="差_广阀2007年审计工作底稿（潘） 2007.12.31_所有者权益" xfId="186" xr:uid="{00000000-0005-0000-0000-0000B9000000}"/>
    <cellStyle name="差_广阀2007年审计工作底稿（潘） 2007.12.31_销售2008" xfId="187" xr:uid="{00000000-0005-0000-0000-0000BA000000}"/>
    <cellStyle name="差_广阀调整分录汇总" xfId="188" xr:uid="{00000000-0005-0000-0000-0000BB000000}"/>
    <cellStyle name="差_湖北威利邦工作底稿(潘)2007.12.31" xfId="189" xr:uid="{00000000-0005-0000-0000-0000BC000000}"/>
    <cellStyle name="差_明珠集团－2007会计预提" xfId="190" xr:uid="{00000000-0005-0000-0000-0000BD000000}"/>
    <cellStyle name="差_明珠集团－孔 2007年6月30日" xfId="191" xr:uid="{00000000-0005-0000-0000-0000BE000000}"/>
    <cellStyle name="差_清远威利邦2007年审底稿(潘)2007.12.31" xfId="192" xr:uid="{00000000-0005-0000-0000-0000BF000000}"/>
    <cellStyle name="差_清远威利邦待填-存货、收入、成本类" xfId="193" xr:uid="{00000000-0005-0000-0000-0000C0000000}"/>
    <cellStyle name="差_阳春速生林2007年度审计底稿(潘) 2007.12.31" xfId="194" xr:uid="{00000000-0005-0000-0000-0000C1000000}"/>
    <cellStyle name="差_药业2007.12-孔" xfId="195" xr:uid="{00000000-0005-0000-0000-0000C2000000}"/>
    <cellStyle name="常规" xfId="0" builtinId="0"/>
    <cellStyle name="常规 10" xfId="196" xr:uid="{00000000-0005-0000-0000-0000C4000000}"/>
    <cellStyle name="常规 10 2" xfId="197" xr:uid="{00000000-0005-0000-0000-0000C5000000}"/>
    <cellStyle name="常规 10_08威华股份预填" xfId="198" xr:uid="{00000000-0005-0000-0000-0000C6000000}"/>
    <cellStyle name="常规 11" xfId="199" xr:uid="{00000000-0005-0000-0000-0000C7000000}"/>
    <cellStyle name="常规 11 2" xfId="200" xr:uid="{00000000-0005-0000-0000-0000C8000000}"/>
    <cellStyle name="常规 11 3" xfId="201" xr:uid="{00000000-0005-0000-0000-0000C9000000}"/>
    <cellStyle name="常规 11_08威华股份预填" xfId="202" xr:uid="{00000000-0005-0000-0000-0000CA000000}"/>
    <cellStyle name="常规 12" xfId="203" xr:uid="{00000000-0005-0000-0000-0000CB000000}"/>
    <cellStyle name="常规 12 2" xfId="204" xr:uid="{00000000-0005-0000-0000-0000CC000000}"/>
    <cellStyle name="常规 13" xfId="205" xr:uid="{00000000-0005-0000-0000-0000CD000000}"/>
    <cellStyle name="常规 14" xfId="206" xr:uid="{00000000-0005-0000-0000-0000CE000000}"/>
    <cellStyle name="常规 14 2" xfId="207" xr:uid="{00000000-0005-0000-0000-0000CF000000}"/>
    <cellStyle name="常规 15" xfId="208" xr:uid="{00000000-0005-0000-0000-0000D0000000}"/>
    <cellStyle name="常规 15 2" xfId="209" xr:uid="{00000000-0005-0000-0000-0000D1000000}"/>
    <cellStyle name="常规 15 3" xfId="210" xr:uid="{00000000-0005-0000-0000-0000D2000000}"/>
    <cellStyle name="常规 16" xfId="211" xr:uid="{00000000-0005-0000-0000-0000D3000000}"/>
    <cellStyle name="常规 17" xfId="212" xr:uid="{00000000-0005-0000-0000-0000D4000000}"/>
    <cellStyle name="常规 18" xfId="213" xr:uid="{00000000-0005-0000-0000-0000D5000000}"/>
    <cellStyle name="常规 19" xfId="214" xr:uid="{00000000-0005-0000-0000-0000D6000000}"/>
    <cellStyle name="常规 2" xfId="215" xr:uid="{00000000-0005-0000-0000-0000D7000000}"/>
    <cellStyle name="常规 2 2" xfId="216" xr:uid="{00000000-0005-0000-0000-0000D8000000}"/>
    <cellStyle name="常规 2 2 2" xfId="217" xr:uid="{00000000-0005-0000-0000-0000D9000000}"/>
    <cellStyle name="常规 2 2_产品成本分析" xfId="218" xr:uid="{00000000-0005-0000-0000-0000DA000000}"/>
    <cellStyle name="常规 2 3" xfId="219" xr:uid="{00000000-0005-0000-0000-0000DB000000}"/>
    <cellStyle name="常规 2 4" xfId="220" xr:uid="{00000000-0005-0000-0000-0000DC000000}"/>
    <cellStyle name="常规 2 5" xfId="221" xr:uid="{00000000-0005-0000-0000-0000DD000000}"/>
    <cellStyle name="常规 2 6" xfId="222" xr:uid="{00000000-0005-0000-0000-0000DE000000}"/>
    <cellStyle name="常规 2 6 2" xfId="223" xr:uid="{00000000-0005-0000-0000-0000DF000000}"/>
    <cellStyle name="常规 2 7" xfId="224" xr:uid="{00000000-0005-0000-0000-0000E0000000}"/>
    <cellStyle name="常规 2 8" xfId="225" xr:uid="{00000000-0005-0000-0000-0000E1000000}"/>
    <cellStyle name="常规 2_08威华股份预填" xfId="226" xr:uid="{00000000-0005-0000-0000-0000E2000000}"/>
    <cellStyle name="常规 2_08威华股份预填 3" xfId="442" xr:uid="{91A29862-6710-4D8E-B72F-0DF2F1A82F20}"/>
    <cellStyle name="常规 20" xfId="227" xr:uid="{00000000-0005-0000-0000-0000E3000000}"/>
    <cellStyle name="常规 21" xfId="228" xr:uid="{00000000-0005-0000-0000-0000E4000000}"/>
    <cellStyle name="常规 22" xfId="229" xr:uid="{00000000-0005-0000-0000-0000E5000000}"/>
    <cellStyle name="常规 22 2" xfId="230" xr:uid="{00000000-0005-0000-0000-0000E6000000}"/>
    <cellStyle name="常规 22 3" xfId="231" xr:uid="{00000000-0005-0000-0000-0000E7000000}"/>
    <cellStyle name="常规 23" xfId="232" xr:uid="{00000000-0005-0000-0000-0000E8000000}"/>
    <cellStyle name="常规 24" xfId="233" xr:uid="{00000000-0005-0000-0000-0000E9000000}"/>
    <cellStyle name="常规 25" xfId="234" xr:uid="{00000000-0005-0000-0000-0000EA000000}"/>
    <cellStyle name="常规 25 2" xfId="235" xr:uid="{00000000-0005-0000-0000-0000EB000000}"/>
    <cellStyle name="常规 25 2 2" xfId="236" xr:uid="{00000000-0005-0000-0000-0000EC000000}"/>
    <cellStyle name="常规 25 2 2 2" xfId="237" xr:uid="{00000000-0005-0000-0000-0000ED000000}"/>
    <cellStyle name="常规 25 2 3" xfId="238" xr:uid="{00000000-0005-0000-0000-0000EE000000}"/>
    <cellStyle name="常规 25 2 4" xfId="239" xr:uid="{00000000-0005-0000-0000-0000EF000000}"/>
    <cellStyle name="常规 25 2_产品成本分析" xfId="240" xr:uid="{00000000-0005-0000-0000-0000F0000000}"/>
    <cellStyle name="常规 26" xfId="241" xr:uid="{00000000-0005-0000-0000-0000F1000000}"/>
    <cellStyle name="常规 26 2" xfId="242" xr:uid="{00000000-0005-0000-0000-0000F2000000}"/>
    <cellStyle name="常规 27" xfId="243" xr:uid="{00000000-0005-0000-0000-0000F3000000}"/>
    <cellStyle name="常规 28" xfId="244" xr:uid="{00000000-0005-0000-0000-0000F4000000}"/>
    <cellStyle name="常规 29" xfId="245" xr:uid="{00000000-0005-0000-0000-0000F5000000}"/>
    <cellStyle name="常规 3" xfId="246" xr:uid="{00000000-0005-0000-0000-0000F6000000}"/>
    <cellStyle name="常规 3 2" xfId="247" xr:uid="{00000000-0005-0000-0000-0000F7000000}"/>
    <cellStyle name="常规 3 2 2" xfId="248" xr:uid="{00000000-0005-0000-0000-0000F8000000}"/>
    <cellStyle name="常规 3 2_09锆业本部底稿-应付票据" xfId="249" xr:uid="{00000000-0005-0000-0000-0000F9000000}"/>
    <cellStyle name="常规 3 3" xfId="250" xr:uid="{00000000-0005-0000-0000-0000FA000000}"/>
    <cellStyle name="常规 3 4" xfId="251" xr:uid="{00000000-0005-0000-0000-0000FB000000}"/>
    <cellStyle name="常规 3 5" xfId="252" xr:uid="{00000000-0005-0000-0000-0000FC000000}"/>
    <cellStyle name="常规 3_07年明珠企业预填" xfId="253" xr:uid="{00000000-0005-0000-0000-0000FD000000}"/>
    <cellStyle name="常规 30" xfId="254" xr:uid="{00000000-0005-0000-0000-0000FE000000}"/>
    <cellStyle name="常规 31" xfId="255" xr:uid="{00000000-0005-0000-0000-0000FF000000}"/>
    <cellStyle name="常规 32" xfId="256" xr:uid="{00000000-0005-0000-0000-000000010000}"/>
    <cellStyle name="常规 33" xfId="257" xr:uid="{00000000-0005-0000-0000-000001010000}"/>
    <cellStyle name="常规 34" xfId="258" xr:uid="{00000000-0005-0000-0000-000002010000}"/>
    <cellStyle name="常规 35" xfId="259" xr:uid="{00000000-0005-0000-0000-000003010000}"/>
    <cellStyle name="常规 36" xfId="260" xr:uid="{00000000-0005-0000-0000-000004010000}"/>
    <cellStyle name="常规 37" xfId="261" xr:uid="{00000000-0005-0000-0000-000005010000}"/>
    <cellStyle name="常规 38" xfId="262" xr:uid="{00000000-0005-0000-0000-000006010000}"/>
    <cellStyle name="常规 38 2" xfId="263" xr:uid="{00000000-0005-0000-0000-000007010000}"/>
    <cellStyle name="常规 39" xfId="264" xr:uid="{00000000-0005-0000-0000-000008010000}"/>
    <cellStyle name="常规 4" xfId="265" xr:uid="{00000000-0005-0000-0000-000009010000}"/>
    <cellStyle name="常规 4 2" xfId="266" xr:uid="{00000000-0005-0000-0000-00000A010000}"/>
    <cellStyle name="常规 4_09锆业本部底稿-其他长期负债" xfId="267" xr:uid="{00000000-0005-0000-0000-00000B010000}"/>
    <cellStyle name="常规 40" xfId="268" xr:uid="{00000000-0005-0000-0000-00000C010000}"/>
    <cellStyle name="常规 41" xfId="269" xr:uid="{00000000-0005-0000-0000-00000D010000}"/>
    <cellStyle name="常规 42" xfId="270" xr:uid="{00000000-0005-0000-0000-00000E010000}"/>
    <cellStyle name="常规 43" xfId="271" xr:uid="{00000000-0005-0000-0000-00000F010000}"/>
    <cellStyle name="常规 44" xfId="272" xr:uid="{00000000-0005-0000-0000-000010010000}"/>
    <cellStyle name="常规 45" xfId="273" xr:uid="{00000000-0005-0000-0000-000011010000}"/>
    <cellStyle name="常规 46" xfId="274" xr:uid="{00000000-0005-0000-0000-000012010000}"/>
    <cellStyle name="常规 47" xfId="275" xr:uid="{00000000-0005-0000-0000-000013010000}"/>
    <cellStyle name="常规 48" xfId="443" xr:uid="{02E93FDB-8B70-49B7-B951-64EB7DCCDB25}"/>
    <cellStyle name="常规 5" xfId="276" xr:uid="{00000000-0005-0000-0000-000014010000}"/>
    <cellStyle name="常规 5 2" xfId="277" xr:uid="{00000000-0005-0000-0000-000015010000}"/>
    <cellStyle name="常规 5_09锆业本部底稿-其他长期负债" xfId="278" xr:uid="{00000000-0005-0000-0000-000016010000}"/>
    <cellStyle name="常规 6" xfId="279" xr:uid="{00000000-0005-0000-0000-000017010000}"/>
    <cellStyle name="常规 6 2" xfId="280" xr:uid="{00000000-0005-0000-0000-000018010000}"/>
    <cellStyle name="常规 6_09锆业本部底稿-其他长期负债" xfId="281" xr:uid="{00000000-0005-0000-0000-000019010000}"/>
    <cellStyle name="常规 7" xfId="282" xr:uid="{00000000-0005-0000-0000-00001A010000}"/>
    <cellStyle name="常规 7 2" xfId="283" xr:uid="{00000000-0005-0000-0000-00001B010000}"/>
    <cellStyle name="常规 7_08威华股份预填" xfId="284" xr:uid="{00000000-0005-0000-0000-00001C010000}"/>
    <cellStyle name="常规 8" xfId="285" xr:uid="{00000000-0005-0000-0000-00001D010000}"/>
    <cellStyle name="常规 8 2" xfId="286" xr:uid="{00000000-0005-0000-0000-00001E010000}"/>
    <cellStyle name="常规 8 3" xfId="287" xr:uid="{00000000-0005-0000-0000-00001F010000}"/>
    <cellStyle name="常规 8_08威华股份预填" xfId="288" xr:uid="{00000000-0005-0000-0000-000020010000}"/>
    <cellStyle name="常规 9" xfId="289" xr:uid="{00000000-0005-0000-0000-000021010000}"/>
    <cellStyle name="常规_A_全部表格-2.22ABC" xfId="440" xr:uid="{F838E65B-0642-46F5-A4DF-B3923D77E874}"/>
    <cellStyle name="常规_虹桥底稿－陈 2" xfId="441" xr:uid="{88D5FF98-673A-4D8A-974E-84827A6F2DEA}"/>
    <cellStyle name="常规_审计工作底稿参考格式（试用）2002.2 2" xfId="290" xr:uid="{00000000-0005-0000-0000-000022010000}"/>
    <cellStyle name="常规_索正中珠江底稿模板1--调整索引01(邓） 2" xfId="291" xr:uid="{00000000-0005-0000-0000-000023010000}"/>
    <cellStyle name="超级链接" xfId="292" xr:uid="{00000000-0005-0000-0000-000024010000}"/>
    <cellStyle name="超级链接 2" xfId="293" xr:uid="{00000000-0005-0000-0000-000025010000}"/>
    <cellStyle name="超级链接_2000房产之窗底稿" xfId="294" xr:uid="{00000000-0005-0000-0000-000026010000}"/>
    <cellStyle name="超链接" xfId="295" builtinId="8"/>
    <cellStyle name="超链接 2" xfId="296" xr:uid="{00000000-0005-0000-0000-000028010000}"/>
    <cellStyle name="超链接 2 2" xfId="297" xr:uid="{00000000-0005-0000-0000-000029010000}"/>
    <cellStyle name="超链接 2 3" xfId="298" xr:uid="{00000000-0005-0000-0000-00002A010000}"/>
    <cellStyle name="超链接 2 3 2" xfId="299" xr:uid="{00000000-0005-0000-0000-00002B010000}"/>
    <cellStyle name="超链接 2_产品成本分析" xfId="300" xr:uid="{00000000-0005-0000-0000-00002C010000}"/>
    <cellStyle name="超链接 3" xfId="301" xr:uid="{00000000-0005-0000-0000-00002D010000}"/>
    <cellStyle name="分级显示列_1_PERSON2" xfId="303" xr:uid="{00000000-0005-0000-0000-00002F010000}"/>
    <cellStyle name="分级显示行_1_PERSON2" xfId="302" xr:uid="{00000000-0005-0000-0000-00002E010000}"/>
    <cellStyle name="好_07年明珠企业预填" xfId="304" xr:uid="{00000000-0005-0000-0000-000030010000}"/>
    <cellStyle name="好_08年审企业预填表-药业" xfId="305" xr:uid="{00000000-0005-0000-0000-000031010000}"/>
    <cellStyle name="好_2006明珠－收入成本" xfId="306" xr:uid="{00000000-0005-0000-0000-000032010000}"/>
    <cellStyle name="好_2007年矿粉收入.成本" xfId="307" xr:uid="{00000000-0005-0000-0000-000033010000}"/>
    <cellStyle name="好_A4-1" xfId="308" xr:uid="{00000000-0005-0000-0000-000034010000}"/>
    <cellStyle name="好_A8-1" xfId="309" xr:uid="{00000000-0005-0000-0000-000035010000}"/>
    <cellStyle name="好_C1-3" xfId="310" xr:uid="{00000000-0005-0000-0000-000036010000}"/>
    <cellStyle name="好_Sheet1" xfId="311" xr:uid="{00000000-0005-0000-0000-000037010000}"/>
    <cellStyle name="好_本部12月份重分类" xfId="312" xr:uid="{00000000-0005-0000-0000-000038010000}"/>
    <cellStyle name="好_本部12月份重分类_08威华股份预填" xfId="313" xr:uid="{00000000-0005-0000-0000-000039010000}"/>
    <cellStyle name="好_本部12月份重分类_A9-6-2" xfId="314" xr:uid="{00000000-0005-0000-0000-00003A010000}"/>
    <cellStyle name="好_本部12月份重分类_采购2008" xfId="315" xr:uid="{00000000-0005-0000-0000-00003B010000}"/>
    <cellStyle name="好_本部12月份重分类_收入成本底稿" xfId="316" xr:uid="{00000000-0005-0000-0000-00003C010000}"/>
    <cellStyle name="好_本部12月份重分类_所有者权益" xfId="317" xr:uid="{00000000-0005-0000-0000-00003D010000}"/>
    <cellStyle name="好_本部12月份重分类_销售2008" xfId="318" xr:uid="{00000000-0005-0000-0000-00003E010000}"/>
    <cellStyle name="好_本部费用" xfId="319" xr:uid="{00000000-0005-0000-0000-00003F010000}"/>
    <cellStyle name="好_产品成本分析" xfId="320" xr:uid="{00000000-0005-0000-0000-000040010000}"/>
    <cellStyle name="好_购销合同-半成品-锆业" xfId="321" xr:uid="{00000000-0005-0000-0000-000041010000}"/>
    <cellStyle name="好_广东明珠本部底稿2007.12.31(潘)" xfId="322" xr:uid="{00000000-0005-0000-0000-000042010000}"/>
    <cellStyle name="好_广阀2007年审计工作底稿（潘） 2007.12.31" xfId="323" xr:uid="{00000000-0005-0000-0000-000043010000}"/>
    <cellStyle name="好_广阀2007年审计工作底稿（潘） 2007.12.31_08威华股份预填" xfId="324" xr:uid="{00000000-0005-0000-0000-000044010000}"/>
    <cellStyle name="好_广阀2007年审计工作底稿（潘） 2007.12.31_A9-6-2" xfId="325" xr:uid="{00000000-0005-0000-0000-000045010000}"/>
    <cellStyle name="好_广阀2007年审计工作底稿（潘） 2007.12.31_采购2008" xfId="326" xr:uid="{00000000-0005-0000-0000-000046010000}"/>
    <cellStyle name="好_广阀2007年审计工作底稿（潘） 2007.12.31_收入成本底稿" xfId="327" xr:uid="{00000000-0005-0000-0000-000047010000}"/>
    <cellStyle name="好_广阀2007年审计工作底稿（潘） 2007.12.31_所有者权益" xfId="328" xr:uid="{00000000-0005-0000-0000-000048010000}"/>
    <cellStyle name="好_广阀2007年审计工作底稿（潘） 2007.12.31_销售2008" xfId="329" xr:uid="{00000000-0005-0000-0000-000049010000}"/>
    <cellStyle name="好_广阀调整分录汇总" xfId="330" xr:uid="{00000000-0005-0000-0000-00004A010000}"/>
    <cellStyle name="好_湖北威利邦工作底稿(潘)2007.12.31" xfId="331" xr:uid="{00000000-0005-0000-0000-00004B010000}"/>
    <cellStyle name="好_明珠集团－2007会计预提" xfId="332" xr:uid="{00000000-0005-0000-0000-00004C010000}"/>
    <cellStyle name="好_明珠集团－孔 2007年6月30日" xfId="333" xr:uid="{00000000-0005-0000-0000-00004D010000}"/>
    <cellStyle name="好_清远威利邦2007年审底稿(潘)2007.12.31" xfId="334" xr:uid="{00000000-0005-0000-0000-00004E010000}"/>
    <cellStyle name="好_清远威利邦待填-存货、收入、成本类" xfId="335" xr:uid="{00000000-0005-0000-0000-00004F010000}"/>
    <cellStyle name="好_阳春速生林2007年度审计底稿(潘) 2007.12.31" xfId="336" xr:uid="{00000000-0005-0000-0000-000050010000}"/>
    <cellStyle name="好_药业2007.12-孔" xfId="337" xr:uid="{00000000-0005-0000-0000-000051010000}"/>
    <cellStyle name="桁区切り [0.00]_１１月価格表" xfId="338" xr:uid="{00000000-0005-0000-0000-000052010000}"/>
    <cellStyle name="桁区切り_１１月価格表" xfId="339" xr:uid="{00000000-0005-0000-0000-000053010000}"/>
    <cellStyle name="后继超级链接" xfId="340" xr:uid="{00000000-0005-0000-0000-000054010000}"/>
    <cellStyle name="后继超级链接 2" xfId="341" xr:uid="{00000000-0005-0000-0000-000055010000}"/>
    <cellStyle name="后继超级链接_2000妇女用品底稿" xfId="342" xr:uid="{00000000-0005-0000-0000-000056010000}"/>
    <cellStyle name="汇总 2" xfId="343" xr:uid="{00000000-0005-0000-0000-000057010000}"/>
    <cellStyle name="货币 2" xfId="344" xr:uid="{00000000-0005-0000-0000-000058010000}"/>
    <cellStyle name="货币 3" xfId="345" xr:uid="{00000000-0005-0000-0000-000059010000}"/>
    <cellStyle name="借出原因" xfId="346" xr:uid="{00000000-0005-0000-0000-00005A010000}"/>
    <cellStyle name="霓付 [0]_1202" xfId="347" xr:uid="{00000000-0005-0000-0000-00005B010000}"/>
    <cellStyle name="霓付_1202" xfId="348" xr:uid="{00000000-0005-0000-0000-00005C010000}"/>
    <cellStyle name="烹拳 [0]_1202" xfId="349" xr:uid="{00000000-0005-0000-0000-00005D010000}"/>
    <cellStyle name="烹拳_1202" xfId="350" xr:uid="{00000000-0005-0000-0000-00005E010000}"/>
    <cellStyle name="砯刽 [0]_PLDT" xfId="351" xr:uid="{00000000-0005-0000-0000-00005F010000}"/>
    <cellStyle name="砯刽_PLDT" xfId="352" xr:uid="{00000000-0005-0000-0000-000060010000}"/>
    <cellStyle name="普通_ 白土" xfId="353" xr:uid="{00000000-0005-0000-0000-000061010000}"/>
    <cellStyle name="千分位[0]_ 白土" xfId="354" xr:uid="{00000000-0005-0000-0000-000062010000}"/>
    <cellStyle name="千分位_ 白土" xfId="355" xr:uid="{00000000-0005-0000-0000-000063010000}"/>
    <cellStyle name="千位[0]_ 方正PC" xfId="356" xr:uid="{00000000-0005-0000-0000-000064010000}"/>
    <cellStyle name="千位_ 方正PC" xfId="357" xr:uid="{00000000-0005-0000-0000-000065010000}"/>
    <cellStyle name="千位分隔" xfId="439" builtinId="3"/>
    <cellStyle name="千位分隔 10" xfId="358" xr:uid="{00000000-0005-0000-0000-000066010000}"/>
    <cellStyle name="千位分隔 10 2" xfId="359" xr:uid="{00000000-0005-0000-0000-000067010000}"/>
    <cellStyle name="千位分隔 10 2 2" xfId="360" xr:uid="{00000000-0005-0000-0000-000068010000}"/>
    <cellStyle name="千位分隔 11" xfId="361" xr:uid="{00000000-0005-0000-0000-000069010000}"/>
    <cellStyle name="千位分隔 12" xfId="362" xr:uid="{00000000-0005-0000-0000-00006A010000}"/>
    <cellStyle name="千位分隔 13" xfId="363" xr:uid="{00000000-0005-0000-0000-00006B010000}"/>
    <cellStyle name="千位分隔 13 2" xfId="364" xr:uid="{00000000-0005-0000-0000-00006C010000}"/>
    <cellStyle name="千位分隔 14" xfId="365" xr:uid="{00000000-0005-0000-0000-00006D010000}"/>
    <cellStyle name="千位分隔 14 2" xfId="366" xr:uid="{00000000-0005-0000-0000-00006E010000}"/>
    <cellStyle name="千位分隔 15" xfId="367" xr:uid="{00000000-0005-0000-0000-00006F010000}"/>
    <cellStyle name="千位分隔 16" xfId="368" xr:uid="{00000000-0005-0000-0000-000070010000}"/>
    <cellStyle name="千位分隔 17" xfId="369" xr:uid="{00000000-0005-0000-0000-000071010000}"/>
    <cellStyle name="千位分隔 18" xfId="370" xr:uid="{00000000-0005-0000-0000-000072010000}"/>
    <cellStyle name="千位分隔 18 2" xfId="371" xr:uid="{00000000-0005-0000-0000-000073010000}"/>
    <cellStyle name="千位分隔 18 3" xfId="372" xr:uid="{00000000-0005-0000-0000-000074010000}"/>
    <cellStyle name="千位分隔 19" xfId="373" xr:uid="{00000000-0005-0000-0000-000075010000}"/>
    <cellStyle name="千位分隔 2" xfId="374" xr:uid="{00000000-0005-0000-0000-000076010000}"/>
    <cellStyle name="千位分隔 2 2" xfId="375" xr:uid="{00000000-0005-0000-0000-000077010000}"/>
    <cellStyle name="千位分隔 2 2 2" xfId="376" xr:uid="{00000000-0005-0000-0000-000078010000}"/>
    <cellStyle name="千位分隔 2 2 3" xfId="377" xr:uid="{00000000-0005-0000-0000-000079010000}"/>
    <cellStyle name="千位分隔 2 2 3 2" xfId="378" xr:uid="{00000000-0005-0000-0000-00007A010000}"/>
    <cellStyle name="千位分隔 2 2 3 3" xfId="379" xr:uid="{00000000-0005-0000-0000-00007B010000}"/>
    <cellStyle name="千位分隔 2 2 3 3 2" xfId="380" xr:uid="{00000000-0005-0000-0000-00007C010000}"/>
    <cellStyle name="千位分隔 2 2 4" xfId="381" xr:uid="{00000000-0005-0000-0000-00007D010000}"/>
    <cellStyle name="千位分隔 2 3" xfId="382" xr:uid="{00000000-0005-0000-0000-00007E010000}"/>
    <cellStyle name="千位分隔 2 4" xfId="383" xr:uid="{00000000-0005-0000-0000-00007F010000}"/>
    <cellStyle name="千位分隔 2 4 2" xfId="384" xr:uid="{00000000-0005-0000-0000-000080010000}"/>
    <cellStyle name="千位分隔 2 5" xfId="385" xr:uid="{00000000-0005-0000-0000-000081010000}"/>
    <cellStyle name="千位分隔 2 6" xfId="386" xr:uid="{00000000-0005-0000-0000-000082010000}"/>
    <cellStyle name="千位分隔 2 7" xfId="387" xr:uid="{00000000-0005-0000-0000-000083010000}"/>
    <cellStyle name="千位分隔 20" xfId="388" xr:uid="{00000000-0005-0000-0000-000084010000}"/>
    <cellStyle name="千位分隔 21" xfId="389" xr:uid="{00000000-0005-0000-0000-000085010000}"/>
    <cellStyle name="千位分隔 21 2" xfId="390" xr:uid="{00000000-0005-0000-0000-000086010000}"/>
    <cellStyle name="千位分隔 22" xfId="391" xr:uid="{00000000-0005-0000-0000-000087010000}"/>
    <cellStyle name="千位分隔 23" xfId="392" xr:uid="{00000000-0005-0000-0000-000088010000}"/>
    <cellStyle name="千位分隔 24" xfId="393" xr:uid="{00000000-0005-0000-0000-000089010000}"/>
    <cellStyle name="千位分隔 25" xfId="394" xr:uid="{00000000-0005-0000-0000-00008A010000}"/>
    <cellStyle name="千位分隔 3" xfId="395" xr:uid="{00000000-0005-0000-0000-00008B010000}"/>
    <cellStyle name="千位分隔 3 2" xfId="396" xr:uid="{00000000-0005-0000-0000-00008C010000}"/>
    <cellStyle name="千位分隔 3 2 2" xfId="397" xr:uid="{00000000-0005-0000-0000-00008D010000}"/>
    <cellStyle name="千位分隔 3 2 2 2" xfId="398" xr:uid="{00000000-0005-0000-0000-00008E010000}"/>
    <cellStyle name="千位分隔 3 2 3" xfId="399" xr:uid="{00000000-0005-0000-0000-00008F010000}"/>
    <cellStyle name="千位分隔 4" xfId="400" xr:uid="{00000000-0005-0000-0000-000090010000}"/>
    <cellStyle name="千位分隔 4 2" xfId="401" xr:uid="{00000000-0005-0000-0000-000091010000}"/>
    <cellStyle name="千位分隔 4 2 2" xfId="402" xr:uid="{00000000-0005-0000-0000-000092010000}"/>
    <cellStyle name="千位分隔 4 3" xfId="403" xr:uid="{00000000-0005-0000-0000-000093010000}"/>
    <cellStyle name="千位分隔 4 4" xfId="404" xr:uid="{00000000-0005-0000-0000-000094010000}"/>
    <cellStyle name="千位分隔 5" xfId="405" xr:uid="{00000000-0005-0000-0000-000095010000}"/>
    <cellStyle name="千位分隔 5 2" xfId="406" xr:uid="{00000000-0005-0000-0000-000096010000}"/>
    <cellStyle name="千位分隔 5_2007年宏远水电底稿" xfId="407" xr:uid="{00000000-0005-0000-0000-000097010000}"/>
    <cellStyle name="千位分隔 6" xfId="408" xr:uid="{00000000-0005-0000-0000-000098010000}"/>
    <cellStyle name="千位分隔 7" xfId="409" xr:uid="{00000000-0005-0000-0000-000099010000}"/>
    <cellStyle name="千位分隔 7 2" xfId="410" xr:uid="{00000000-0005-0000-0000-00009A010000}"/>
    <cellStyle name="千位分隔 8" xfId="411" xr:uid="{00000000-0005-0000-0000-00009B010000}"/>
    <cellStyle name="千位分隔 8 2" xfId="412" xr:uid="{00000000-0005-0000-0000-00009C010000}"/>
    <cellStyle name="千位分隔 9" xfId="413" xr:uid="{00000000-0005-0000-0000-00009D010000}"/>
    <cellStyle name="千位分隔 9 2" xfId="414" xr:uid="{00000000-0005-0000-0000-00009E010000}"/>
    <cellStyle name="千位分隔[0] 2" xfId="415" xr:uid="{00000000-0005-0000-0000-00009F010000}"/>
    <cellStyle name="千位分隔[0] 3" xfId="416" xr:uid="{00000000-0005-0000-0000-0000A0010000}"/>
    <cellStyle name="千位分隔[0] 3 2" xfId="417" xr:uid="{00000000-0005-0000-0000-0000A1010000}"/>
    <cellStyle name="钎霖_(沥焊何巩)岿喊牢盔拌裙" xfId="418" xr:uid="{00000000-0005-0000-0000-0000A2010000}"/>
    <cellStyle name="强调 1" xfId="419" xr:uid="{00000000-0005-0000-0000-0000A3010000}"/>
    <cellStyle name="强调 2" xfId="420" xr:uid="{00000000-0005-0000-0000-0000A4010000}"/>
    <cellStyle name="强调 3" xfId="421" xr:uid="{00000000-0005-0000-0000-0000A5010000}"/>
    <cellStyle name="日期" xfId="422" xr:uid="{00000000-0005-0000-0000-0000A6010000}"/>
    <cellStyle name="商品名称" xfId="423" xr:uid="{00000000-0005-0000-0000-0000A7010000}"/>
    <cellStyle name="审计调整分录" xfId="424" xr:uid="{00000000-0005-0000-0000-0000A8010000}"/>
    <cellStyle name="数量" xfId="425" xr:uid="{00000000-0005-0000-0000-0000A9010000}"/>
    <cellStyle name="通貨 [0.00]_１１月価格表" xfId="426" xr:uid="{00000000-0005-0000-0000-0000AA010000}"/>
    <cellStyle name="通貨_１１月価格表" xfId="427" xr:uid="{00000000-0005-0000-0000-0000AB010000}"/>
    <cellStyle name="样式 1" xfId="428" xr:uid="{00000000-0005-0000-0000-0000AC010000}"/>
    <cellStyle name="样式 2" xfId="429" xr:uid="{00000000-0005-0000-0000-0000AD010000}"/>
    <cellStyle name="一般_1299表格" xfId="430" xr:uid="{00000000-0005-0000-0000-0000AE010000}"/>
    <cellStyle name="昗弨_BOOKSHIP" xfId="431" xr:uid="{00000000-0005-0000-0000-0000AF010000}"/>
    <cellStyle name="寘嬫愗傝 [0.00]_PRODUCT DETAIL Q1" xfId="432" xr:uid="{00000000-0005-0000-0000-0000B0010000}"/>
    <cellStyle name="寘嬫愗傝_PRODUCT DETAIL Q1" xfId="433" xr:uid="{00000000-0005-0000-0000-0000B1010000}"/>
    <cellStyle name="콤마 [0]_BOILER-CO1" xfId="434" xr:uid="{00000000-0005-0000-0000-0000B2010000}"/>
    <cellStyle name="콤마_BOILER-CO1" xfId="435" xr:uid="{00000000-0005-0000-0000-0000B3010000}"/>
    <cellStyle name="통화 [0]_BOILER-CO1" xfId="436" xr:uid="{00000000-0005-0000-0000-0000B4010000}"/>
    <cellStyle name="통화_BOILER-CO1" xfId="437" xr:uid="{00000000-0005-0000-0000-0000B5010000}"/>
    <cellStyle name="표준_0N-HANDLING " xfId="438" xr:uid="{00000000-0005-0000-0000-0000B601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50800</xdr:colOff>
          <xdr:row>1</xdr:row>
          <xdr:rowOff>12700</xdr:rowOff>
        </xdr:from>
        <xdr:to>
          <xdr:col>13</xdr:col>
          <xdr:colOff>641350</xdr:colOff>
          <xdr:row>1</xdr:row>
          <xdr:rowOff>260350</xdr:rowOff>
        </xdr:to>
        <xdr:sp macro="" textlink="">
          <xdr:nvSpPr>
            <xdr:cNvPr id="5245" name="CommandButton1" hidden="1">
              <a:extLst>
                <a:ext uri="{63B3BB69-23CF-44E3-9099-C40C66FF867C}">
                  <a14:compatExt spid="_x0000_s5245"/>
                </a:ext>
                <a:ext uri="{FF2B5EF4-FFF2-40B4-BE49-F238E27FC236}">
                  <a16:creationId xmlns:a16="http://schemas.microsoft.com/office/drawing/2014/main" id="{00000000-0008-0000-0000-00007D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12700</xdr:rowOff>
        </xdr:from>
        <xdr:to>
          <xdr:col>13</xdr:col>
          <xdr:colOff>647700</xdr:colOff>
          <xdr:row>2</xdr:row>
          <xdr:rowOff>260350</xdr:rowOff>
        </xdr:to>
        <xdr:sp macro="" textlink="">
          <xdr:nvSpPr>
            <xdr:cNvPr id="5246" name="CommandButton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file:///\\Hua-7h0325\&#22269;&#38469;&#28207;&#21153;&#38598;&#22242;\04&#24180;7&#26376;-05&#24180;6&#26376;\bak&#19981;&#35201;&#29992;\WINDOWS\TEMP\notesE1EF34\work\2004\&#19978;&#28023;&#28207;&#21153;&#38598;&#22242;\IPO\&#26412;&#37096;\wp\Documents%20and%20Settings\770463\My%20Documents\My%20Job\Huaxia\HX%20June%202002\Investment\Anno's%20workdone\PBC\To%20stephen\To%20stephen\9D4FF100?FA46655A" TargetMode="External"/><Relationship Id="rId1" Type="http://schemas.openxmlformats.org/officeDocument/2006/relationships/externalLinkPath" Target="file:///\\FA46655A\9D4FF10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外事项"/>
      <sheetName val="表外项目－银行承兑汇票（外币）"/>
      <sheetName val="表外项目-银行承兑汇票（人民币）"/>
      <sheetName val="表外项目-开出保证凭信"/>
      <sheetName val="表外项目-开来保证凭信"/>
      <sheetName val="表外--信用证项下出口款项"/>
      <sheetName val="表外应收利息"/>
      <sheetName val="贷款前十名"/>
      <sheetName val="再贴现"/>
      <sheetName val="转贴现"/>
      <sheetName val="纳税调整表"/>
      <sheetName val="未决诉讼事项"/>
      <sheetName val="房屋租赁承诺"/>
      <sheetName val="应付利息（安永）"/>
      <sheetName val="财务承诺（安永）"/>
      <sheetName val="呆帐准备(安永）"/>
      <sheetName val="关联交易-存款"/>
      <sheetName val="关联交易-贷款"/>
      <sheetName val="关联交易--资产负债类项目"/>
      <sheetName val="关联交易-表外及其他业务"/>
      <sheetName val="Sheet1"/>
      <sheetName val="CS"/>
      <sheetName val="各公司简称"/>
      <sheetName val="编码表"/>
      <sheetName val="WP-02"/>
      <sheetName val="函证对象基础表1"/>
      <sheetName val="科目表（总）"/>
      <sheetName val="WP-03"/>
      <sheetName val="FL"/>
      <sheetName val="WP-05"/>
      <sheetName val="固定资产汇总表A17-1"/>
      <sheetName val="UFPrn20180206201449"/>
      <sheetName val="无形资产汇总表A21-1"/>
      <sheetName val="公司清单"/>
      <sheetName val="Sheet3"/>
      <sheetName val="三和软件"/>
      <sheetName val="基础信息设置"/>
      <sheetName val="其他应收款"/>
      <sheetName val="银行存款明细表"/>
      <sheetName val="_Profile"/>
      <sheetName val="Sheet2"/>
      <sheetName val="Sheet4"/>
      <sheetName val="Sheet5"/>
      <sheetName val="应付账款审定表"/>
      <sheetName val="index"/>
      <sheetName val="FZ"/>
      <sheetName val="基础数据"/>
      <sheetName val="调整分录"/>
      <sheetName val="WP-04-GP"/>
      <sheetName val="中储"/>
      <sheetName val="凌益"/>
      <sheetName val="eqpmad2"/>
      <sheetName val="3收止"/>
      <sheetName val="往来科目余额明细表"/>
      <sheetName val=" "/>
      <sheetName val="B001(Y)"/>
      <sheetName val="Ledger"/>
      <sheetName val="A100000-A104000参数"/>
      <sheetName val="试算平衡表"/>
      <sheetName val="信息"/>
      <sheetName val="ITEM"/>
      <sheetName val="填写说明"/>
      <sheetName val="有効使用期間12年"/>
      <sheetName val="05分析性底稿"/>
      <sheetName val="ADJ"/>
      <sheetName val="W"/>
      <sheetName val="会计科目设置  科目汇总表"/>
      <sheetName val="维度管理"/>
      <sheetName val="IND."/>
      <sheetName val="原材料"/>
      <sheetName val="试算"/>
      <sheetName val="TB表（期末）"/>
      <sheetName val="租赁收入明细"/>
      <sheetName val="P4管理费用"/>
      <sheetName val="L2银行存款"/>
      <sheetName val="其它应收款"/>
      <sheetName val="dxnsjtempsheet"/>
      <sheetName val="报表层次重要性水平"/>
      <sheetName val="SP"/>
      <sheetName val="索引"/>
      <sheetName val="B001（Y4）"/>
      <sheetName val="下拉菜单"/>
      <sheetName val="所有者权益(股东权益)变动表(未审)"/>
      <sheetName val="管理费用"/>
      <sheetName val="制造费用"/>
      <sheetName val="销售费用"/>
      <sheetName val="C_301"/>
      <sheetName val="C_311"/>
      <sheetName val="C_318"/>
      <sheetName val="SW-TEO"/>
      <sheetName val="合并试算平衡表（资表利表）"/>
      <sheetName val="PBIAQYLGSGEHQDCHPWUQKFJQYJCARM"/>
      <sheetName val="SMNZUODXRRSBHDYOGBJETOAUMFBBTP"/>
      <sheetName val="A16C"/>
      <sheetName val="1112_TD15|应付职工薪酬"/>
      <sheetName val="1112_TD21|主数据代码"/>
      <sheetName val="1112_TD16|投资收益明细表"/>
      <sheetName val="1112_TD45|合同负债明细表"/>
      <sheetName val="1112_TD16|请勿编辑"/>
      <sheetName val="1112_TD41"/>
      <sheetName val="1113_TN_60|请勿编辑！"/>
      <sheetName val="客商清单"/>
      <sheetName val="应收账款"/>
      <sheetName val="数据源"/>
      <sheetName val="LEXPHUDRQNWMVCGHRRBNGTAFDVGLML"/>
      <sheetName val="UEPSKPZYNZNLLWAKFLGDIURKUOSDHB"/>
      <sheetName val="存货"/>
      <sheetName val="PopCache"/>
      <sheetName val="健视佳"/>
      <sheetName val="其他货币资金.dbf"/>
      <sheetName val="银行存款.dbf"/>
      <sheetName val="PER SALES ORG"/>
      <sheetName val="工时统计"/>
      <sheetName val="收款流水核查"/>
      <sheetName val="科目表（一般企业）"/>
      <sheetName val="枚举字典"/>
      <sheetName val="销售6.13"/>
      <sheetName val="Repayment Summary"/>
      <sheetName val="TB表"/>
      <sheetName val="xbase"/>
      <sheetName val="现金流量表"/>
      <sheetName val="9D4FF100"/>
      <sheetName val="CRITERIA2"/>
      <sheetName val="WP-07-G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P31"/>
  <sheetViews>
    <sheetView zoomScaleNormal="100" workbookViewId="0">
      <pane ySplit="5" topLeftCell="A6" activePane="bottomLeft" state="frozenSplit"/>
      <selection activeCell="I7" sqref="I7"/>
      <selection pane="bottomLeft" activeCell="C2" sqref="C2"/>
    </sheetView>
  </sheetViews>
  <sheetFormatPr defaultColWidth="9" defaultRowHeight="13"/>
  <cols>
    <col min="1" max="1" width="2.08203125" style="77" customWidth="1"/>
    <col min="2" max="2" width="10" style="77" customWidth="1"/>
    <col min="3" max="3" width="27.08203125" style="77" customWidth="1"/>
    <col min="4" max="4" width="11.08203125" style="77" customWidth="1"/>
    <col min="5" max="5" width="6.83203125" style="77" customWidth="1"/>
    <col min="6" max="6" width="9.33203125" style="77" customWidth="1"/>
    <col min="7" max="7" width="11.33203125" style="77" customWidth="1"/>
    <col min="8" max="8" width="9.08203125" style="77" customWidth="1"/>
    <col min="9" max="9" width="8.58203125" style="77" customWidth="1"/>
    <col min="10" max="10" width="9" style="77" customWidth="1"/>
    <col min="11" max="11" width="11.08203125" style="77" customWidth="1"/>
    <col min="12" max="12" width="9.08203125" style="77" customWidth="1"/>
    <col min="13" max="13" width="8.83203125" style="77" customWidth="1"/>
    <col min="14" max="14" width="8.58203125" style="77" customWidth="1"/>
    <col min="15" max="15" width="9" style="80" customWidth="1"/>
    <col min="16" max="16384" width="9" style="77"/>
  </cols>
  <sheetData>
    <row r="1" spans="1:16" s="73" customFormat="1" ht="30" customHeight="1">
      <c r="A1" s="72"/>
      <c r="B1" s="23" t="s">
        <v>561</v>
      </c>
      <c r="D1" s="74"/>
      <c r="E1" s="75"/>
      <c r="F1" s="75"/>
      <c r="G1" s="75"/>
      <c r="H1" s="75"/>
      <c r="I1" s="75"/>
      <c r="K1" s="74"/>
      <c r="L1" s="74"/>
      <c r="O1" s="76"/>
    </row>
    <row r="2" spans="1:16" s="107" customFormat="1" ht="21" customHeight="1">
      <c r="B2" s="108" t="s">
        <v>359</v>
      </c>
      <c r="C2" s="109" t="s">
        <v>567</v>
      </c>
      <c r="D2" s="110"/>
      <c r="E2" s="111" t="s">
        <v>360</v>
      </c>
      <c r="F2" s="109" t="s">
        <v>568</v>
      </c>
      <c r="G2" s="111" t="s">
        <v>361</v>
      </c>
      <c r="H2" s="112" t="s">
        <v>248</v>
      </c>
      <c r="I2" s="110"/>
      <c r="J2" s="111" t="s">
        <v>362</v>
      </c>
      <c r="K2" s="113" t="s">
        <v>570</v>
      </c>
      <c r="L2" s="111" t="s">
        <v>363</v>
      </c>
      <c r="M2" s="109" t="s">
        <v>364</v>
      </c>
      <c r="N2" s="79"/>
      <c r="O2" s="114"/>
    </row>
    <row r="3" spans="1:16" s="107" customFormat="1" ht="21" customHeight="1">
      <c r="B3" s="108" t="s">
        <v>365</v>
      </c>
      <c r="C3" s="115" t="s">
        <v>385</v>
      </c>
      <c r="D3" s="110"/>
      <c r="E3" s="111" t="s">
        <v>366</v>
      </c>
      <c r="F3" s="116" t="s">
        <v>552</v>
      </c>
      <c r="G3" s="111" t="s">
        <v>367</v>
      </c>
      <c r="H3" s="117" t="s">
        <v>569</v>
      </c>
      <c r="I3" s="110"/>
      <c r="J3" s="111" t="s">
        <v>368</v>
      </c>
      <c r="K3" s="113" t="s">
        <v>571</v>
      </c>
      <c r="L3" s="111" t="s">
        <v>369</v>
      </c>
      <c r="M3" s="118"/>
      <c r="N3" s="78"/>
      <c r="O3" s="114"/>
    </row>
    <row r="4" spans="1:16" s="107" customFormat="1" ht="6" customHeight="1">
      <c r="B4" s="108"/>
      <c r="C4" s="115"/>
      <c r="D4" s="110"/>
      <c r="E4" s="111"/>
      <c r="F4" s="116"/>
      <c r="G4" s="111"/>
      <c r="H4" s="119"/>
      <c r="I4" s="110"/>
      <c r="J4" s="111"/>
      <c r="K4" s="120"/>
      <c r="L4" s="111"/>
      <c r="M4" s="121"/>
      <c r="N4" s="78"/>
      <c r="O4" s="114"/>
    </row>
    <row r="5" spans="1:16" s="107" customFormat="1" ht="21" customHeight="1">
      <c r="B5" s="122" t="s">
        <v>370</v>
      </c>
      <c r="C5" s="122" t="s">
        <v>371</v>
      </c>
      <c r="D5" s="122" t="s">
        <v>372</v>
      </c>
      <c r="E5" s="123" t="s">
        <v>373</v>
      </c>
      <c r="F5" s="124" t="s">
        <v>374</v>
      </c>
      <c r="G5" s="122" t="s">
        <v>375</v>
      </c>
      <c r="H5" s="122" t="s">
        <v>376</v>
      </c>
      <c r="I5" s="123" t="s">
        <v>377</v>
      </c>
      <c r="J5" s="124" t="s">
        <v>378</v>
      </c>
      <c r="K5" s="122" t="s">
        <v>379</v>
      </c>
      <c r="L5" s="122" t="s">
        <v>380</v>
      </c>
      <c r="M5" s="122" t="s">
        <v>381</v>
      </c>
      <c r="N5" s="81" t="s">
        <v>382</v>
      </c>
      <c r="O5" s="125"/>
      <c r="P5" s="125"/>
    </row>
    <row r="6" spans="1:16" ht="15.75" customHeight="1">
      <c r="A6" s="77" t="s">
        <v>241</v>
      </c>
      <c r="B6" s="82" t="s">
        <v>2</v>
      </c>
      <c r="C6" s="138" t="s">
        <v>387</v>
      </c>
      <c r="D6" s="83"/>
      <c r="E6" s="8" t="s">
        <v>383</v>
      </c>
      <c r="F6" s="369" t="s">
        <v>572</v>
      </c>
      <c r="G6" s="370" t="s">
        <v>573</v>
      </c>
      <c r="H6" s="9" t="s">
        <v>231</v>
      </c>
      <c r="I6" s="127"/>
      <c r="J6" s="369" t="s">
        <v>574</v>
      </c>
      <c r="K6" s="370" t="s">
        <v>575</v>
      </c>
      <c r="L6" s="9" t="s">
        <v>231</v>
      </c>
      <c r="M6" s="128"/>
      <c r="N6" s="288" t="s">
        <v>248</v>
      </c>
      <c r="P6" s="84"/>
    </row>
    <row r="7" spans="1:16" ht="15.75" customHeight="1">
      <c r="A7" s="21" t="s">
        <v>241</v>
      </c>
      <c r="B7" s="25" t="s">
        <v>1</v>
      </c>
      <c r="C7" s="138" t="s">
        <v>386</v>
      </c>
      <c r="D7" s="133" t="s">
        <v>553</v>
      </c>
      <c r="E7" s="129" t="s">
        <v>384</v>
      </c>
      <c r="F7" s="130" t="str">
        <f>IF($F$6="","",$F$6)</f>
        <v>刘慧敏</v>
      </c>
      <c r="G7" s="130" t="str">
        <f>IF($G$6="","",$G$6)</f>
        <v>2022-1-19</v>
      </c>
      <c r="H7" s="9" t="s">
        <v>576</v>
      </c>
      <c r="I7" s="131" t="str">
        <f>IF(OR(AND(E7="必须",'WP-00'!B44&lt;&gt;"未执行",H7="已完成"),AND(H7="不适用",E7="无须")),"Ok","Err")</f>
        <v>Ok</v>
      </c>
      <c r="J7" s="130" t="str">
        <f>IF($J$6="","",$J$6)</f>
        <v>周敏</v>
      </c>
      <c r="K7" s="130" t="str">
        <f>IF($K$6="","",$K$6)</f>
        <v>2022-2-10</v>
      </c>
      <c r="L7" s="9" t="s">
        <v>577</v>
      </c>
      <c r="M7" s="132" t="str">
        <f>IF(OR(AND(E7="必须",L7&lt;&gt;"已审核"),AND(E7="无须",L7&lt;&gt;"不适用")),"Err","Ok")</f>
        <v>Ok</v>
      </c>
      <c r="N7" s="288" t="s">
        <v>248</v>
      </c>
      <c r="P7" s="84"/>
    </row>
    <row r="8" spans="1:16" s="21" customFormat="1" ht="15.75" customHeight="1">
      <c r="A8" s="21" t="s">
        <v>241</v>
      </c>
      <c r="B8" s="25" t="s">
        <v>318</v>
      </c>
      <c r="C8" s="126" t="s">
        <v>544</v>
      </c>
      <c r="D8" s="133" t="s">
        <v>554</v>
      </c>
      <c r="E8" s="129" t="s">
        <v>384</v>
      </c>
      <c r="F8" s="130" t="str">
        <f t="shared" ref="F8:F11" si="0">IF($F$6="","",$F$6)</f>
        <v>刘慧敏</v>
      </c>
      <c r="G8" s="130" t="str">
        <f t="shared" ref="G8:G11" si="1">IF($G$6="","",$G$6)</f>
        <v>2022-1-19</v>
      </c>
      <c r="H8" s="9" t="s">
        <v>576</v>
      </c>
      <c r="I8" s="131" t="str">
        <f>IF(OR(AND(E8="必须",'WP-01'!B32&lt;&gt;"未执行",H8="已完成"),AND(H8="不适用",E8="无须")),"Ok","Err")</f>
        <v>Ok</v>
      </c>
      <c r="J8" s="130" t="str">
        <f t="shared" ref="J8:J11" si="2">IF($J$6="","",$J$6)</f>
        <v>周敏</v>
      </c>
      <c r="K8" s="130" t="str">
        <f t="shared" ref="K8:K11" si="3">IF($K$6="","",$K$6)</f>
        <v>2022-2-10</v>
      </c>
      <c r="L8" s="9" t="s">
        <v>577</v>
      </c>
      <c r="M8" s="132" t="str">
        <f t="shared" ref="M8:M10" si="4">IF(OR(AND(E8="必须",L8&lt;&gt;"已审核"),AND(E8="无须",L8&lt;&gt;"不适用")),"Err","Ok")</f>
        <v>Ok</v>
      </c>
      <c r="N8" s="288" t="s">
        <v>248</v>
      </c>
      <c r="O8" s="22"/>
      <c r="P8" s="24"/>
    </row>
    <row r="9" spans="1:16" s="21" customFormat="1" ht="15.75" customHeight="1">
      <c r="A9" s="21" t="s">
        <v>241</v>
      </c>
      <c r="B9" s="25" t="s">
        <v>319</v>
      </c>
      <c r="C9" s="126" t="s">
        <v>543</v>
      </c>
      <c r="D9" s="133" t="s">
        <v>555</v>
      </c>
      <c r="E9" s="129" t="s">
        <v>384</v>
      </c>
      <c r="F9" s="130" t="str">
        <f t="shared" si="0"/>
        <v>刘慧敏</v>
      </c>
      <c r="G9" s="130" t="str">
        <f t="shared" si="1"/>
        <v>2022-1-19</v>
      </c>
      <c r="H9" s="9" t="s">
        <v>576</v>
      </c>
      <c r="I9" s="131" t="str">
        <f>IF(OR(AND(E9="必须",'WP-02'!B67&lt;&gt;"未执行",H9="已完成"),AND(H9="不适用",E9="无须")),"Ok","Err")</f>
        <v>Ok</v>
      </c>
      <c r="J9" s="130" t="str">
        <f t="shared" si="2"/>
        <v>周敏</v>
      </c>
      <c r="K9" s="130" t="str">
        <f t="shared" si="3"/>
        <v>2022-2-10</v>
      </c>
      <c r="L9" s="9" t="s">
        <v>577</v>
      </c>
      <c r="M9" s="132" t="str">
        <f t="shared" si="4"/>
        <v>Ok</v>
      </c>
      <c r="N9" s="288" t="s">
        <v>248</v>
      </c>
      <c r="O9" s="22"/>
      <c r="P9" s="24"/>
    </row>
    <row r="10" spans="1:16" s="21" customFormat="1" ht="15.75" customHeight="1">
      <c r="A10" s="21" t="s">
        <v>241</v>
      </c>
      <c r="B10" s="25" t="s">
        <v>320</v>
      </c>
      <c r="C10" s="126" t="s">
        <v>542</v>
      </c>
      <c r="D10" s="133" t="s">
        <v>556</v>
      </c>
      <c r="E10" s="129" t="s">
        <v>384</v>
      </c>
      <c r="F10" s="130" t="str">
        <f t="shared" si="0"/>
        <v>刘慧敏</v>
      </c>
      <c r="G10" s="130" t="str">
        <f t="shared" si="1"/>
        <v>2022-1-19</v>
      </c>
      <c r="H10" s="9" t="s">
        <v>576</v>
      </c>
      <c r="I10" s="131" t="str">
        <f>IF(OR(AND(E10="必须",'WP-03'!B68&lt;&gt;"未执行",H10="已完成"),AND(H10="不适用",E10="无须")),"Ok","Err")</f>
        <v>Ok</v>
      </c>
      <c r="J10" s="130" t="str">
        <f t="shared" si="2"/>
        <v>周敏</v>
      </c>
      <c r="K10" s="130" t="str">
        <f t="shared" si="3"/>
        <v>2022-2-10</v>
      </c>
      <c r="L10" s="9" t="s">
        <v>577</v>
      </c>
      <c r="M10" s="132" t="str">
        <f t="shared" si="4"/>
        <v>Ok</v>
      </c>
      <c r="N10" s="288" t="s">
        <v>248</v>
      </c>
      <c r="O10" s="22"/>
      <c r="P10" s="24"/>
    </row>
    <row r="11" spans="1:16" s="21" customFormat="1" ht="15.75" customHeight="1">
      <c r="B11" s="25" t="s">
        <v>389</v>
      </c>
      <c r="C11" s="126" t="s">
        <v>541</v>
      </c>
      <c r="D11" s="133" t="s">
        <v>557</v>
      </c>
      <c r="E11" s="129" t="s">
        <v>388</v>
      </c>
      <c r="F11" s="130" t="str">
        <f t="shared" si="0"/>
        <v>刘慧敏</v>
      </c>
      <c r="G11" s="130" t="str">
        <f t="shared" si="1"/>
        <v>2022-1-19</v>
      </c>
      <c r="H11" s="9" t="s">
        <v>576</v>
      </c>
      <c r="I11" s="131" t="str">
        <f>IF(OR(AND(E11="必须",'WP-04'!B59&lt;&gt;"未执行",H11="已完成"),AND(H11="不适用",E11="无须")),"Ok","Err")</f>
        <v>Ok</v>
      </c>
      <c r="J11" s="130" t="str">
        <f t="shared" si="2"/>
        <v>周敏</v>
      </c>
      <c r="K11" s="130" t="str">
        <f t="shared" si="3"/>
        <v>2022-2-10</v>
      </c>
      <c r="L11" s="9" t="s">
        <v>577</v>
      </c>
      <c r="M11" s="132" t="str">
        <f t="shared" ref="M11" si="5">IF(OR(AND(E11="必须",L11&lt;&gt;"已审核"),AND(E11="无须",L11&lt;&gt;"不适用")),"Err","Ok")</f>
        <v>Ok</v>
      </c>
      <c r="N11" s="288" t="s">
        <v>248</v>
      </c>
      <c r="O11" s="22"/>
      <c r="P11" s="24"/>
    </row>
    <row r="12" spans="1:16" ht="15.75" customHeight="1">
      <c r="A12" s="85" t="s">
        <v>241</v>
      </c>
      <c r="B12" s="86" t="s">
        <v>0</v>
      </c>
      <c r="C12" s="87"/>
      <c r="D12" s="87"/>
      <c r="E12" s="88"/>
      <c r="F12" s="89"/>
      <c r="G12" s="87"/>
      <c r="H12" s="87"/>
      <c r="I12" s="90"/>
      <c r="J12" s="89"/>
      <c r="K12" s="87"/>
      <c r="L12" s="87"/>
      <c r="M12" s="87"/>
    </row>
    <row r="13" spans="1:16" ht="6" customHeight="1">
      <c r="B13" s="91"/>
      <c r="C13" s="92"/>
      <c r="D13" s="93"/>
      <c r="E13" s="93"/>
      <c r="F13" s="94"/>
      <c r="G13" s="93"/>
      <c r="H13" s="93"/>
      <c r="I13" s="94"/>
      <c r="J13" s="95"/>
    </row>
    <row r="14" spans="1:16">
      <c r="B14" s="104" t="s">
        <v>345</v>
      </c>
      <c r="C14" s="96"/>
      <c r="D14" s="96"/>
      <c r="E14" s="96"/>
      <c r="F14" s="96"/>
      <c r="G14" s="96"/>
      <c r="H14" s="96"/>
      <c r="I14" s="96"/>
    </row>
    <row r="15" spans="1:16">
      <c r="B15" s="105" t="s">
        <v>346</v>
      </c>
      <c r="C15" s="97"/>
      <c r="D15" s="97"/>
      <c r="E15" s="97"/>
      <c r="F15" s="97"/>
      <c r="G15" s="97"/>
      <c r="H15" s="97"/>
      <c r="I15" s="97"/>
    </row>
    <row r="16" spans="1:16">
      <c r="B16" s="105" t="s">
        <v>347</v>
      </c>
      <c r="C16" s="97"/>
      <c r="D16" s="98" t="s">
        <v>239</v>
      </c>
      <c r="E16" s="99" t="s">
        <v>238</v>
      </c>
      <c r="F16" s="100" t="s">
        <v>228</v>
      </c>
      <c r="L16" s="80"/>
      <c r="M16" s="80"/>
      <c r="N16" s="80"/>
      <c r="O16" s="77"/>
    </row>
    <row r="17" spans="2:9">
      <c r="B17" s="105" t="s">
        <v>348</v>
      </c>
      <c r="C17" s="97"/>
      <c r="D17" s="97"/>
      <c r="E17" s="97"/>
      <c r="F17" s="97"/>
      <c r="G17" s="97"/>
      <c r="H17" s="97"/>
      <c r="I17" s="97"/>
    </row>
    <row r="18" spans="2:9">
      <c r="B18" s="105" t="s">
        <v>349</v>
      </c>
      <c r="C18" s="97"/>
      <c r="D18" s="97"/>
      <c r="E18" s="97"/>
      <c r="F18" s="97"/>
      <c r="G18" s="97"/>
      <c r="H18" s="97"/>
      <c r="I18" s="97"/>
    </row>
    <row r="19" spans="2:9" ht="6" customHeight="1">
      <c r="B19" s="105"/>
      <c r="C19" s="97"/>
      <c r="D19" s="97"/>
      <c r="E19" s="97"/>
      <c r="F19" s="97"/>
      <c r="G19" s="97"/>
      <c r="H19" s="97"/>
      <c r="I19" s="97"/>
    </row>
    <row r="20" spans="2:9">
      <c r="B20" s="104" t="s">
        <v>350</v>
      </c>
      <c r="C20" s="97"/>
      <c r="D20" s="97"/>
      <c r="E20" s="97"/>
      <c r="F20" s="97"/>
      <c r="G20" s="97"/>
      <c r="H20" s="97"/>
      <c r="I20" s="97"/>
    </row>
    <row r="21" spans="2:9">
      <c r="B21" s="106" t="s">
        <v>351</v>
      </c>
    </row>
    <row r="22" spans="2:9">
      <c r="B22" s="105" t="s">
        <v>352</v>
      </c>
    </row>
    <row r="23" spans="2:9">
      <c r="B23" s="105" t="s">
        <v>353</v>
      </c>
    </row>
    <row r="24" spans="2:9">
      <c r="B24" s="105" t="s">
        <v>354</v>
      </c>
    </row>
    <row r="25" spans="2:9">
      <c r="B25" s="105" t="s">
        <v>355</v>
      </c>
    </row>
    <row r="26" spans="2:9">
      <c r="B26" s="105" t="s">
        <v>356</v>
      </c>
    </row>
    <row r="27" spans="2:9">
      <c r="B27" s="105" t="s">
        <v>357</v>
      </c>
    </row>
    <row r="28" spans="2:9">
      <c r="B28" s="97" t="s">
        <v>358</v>
      </c>
    </row>
    <row r="29" spans="2:9" ht="6" customHeight="1"/>
    <row r="30" spans="2:9" ht="6" customHeight="1"/>
    <row r="31" spans="2:9" ht="6" customHeight="1"/>
  </sheetData>
  <sheetProtection formatCells="0" formatColumns="0" formatRows="0" insertRows="0" deleteRows="0"/>
  <phoneticPr fontId="1" type="noConversion"/>
  <dataValidations count="6">
    <dataValidation allowBlank="1" showInputMessage="1" showErrorMessage="1" prompt="可更改此表名，对应的工作底稿标题将同时更改！下同。" sqref="B13" xr:uid="{00000000-0002-0000-0000-000000000000}"/>
    <dataValidation type="list" allowBlank="1" showInputMessage="1" showErrorMessage="1" sqref="M2" xr:uid="{BCC3FD73-8FB9-4C86-B5EC-2C40F88F5193}">
      <formula1>"人民币,美元,欧元,日元,港元,英镑,澳门元,韩元,新加坡元,泰铢,瑞士法郎,加拿大元,澳元,台币,林吉特,印度卢比,新西兰元,瑞典克朗,丹麦克朗,墨西哥比索,菲律宾比索,印尼卢比,巴西雷亚尔,俄罗斯卢布"</formula1>
    </dataValidation>
    <dataValidation type="list" allowBlank="1" showInputMessage="1" showErrorMessage="1" sqref="H6:H11" xr:uid="{00000000-0002-0000-0000-000003000000}">
      <formula1>"未完成,已完成,不适用"</formula1>
    </dataValidation>
    <dataValidation type="list" allowBlank="1" showInputMessage="1" showErrorMessage="1" sqref="L6:L11" xr:uid="{00000000-0002-0000-0000-000004000000}">
      <formula1>"待审核,已审核,不适用"</formula1>
    </dataValidation>
    <dataValidation type="list" allowBlank="1" showInputMessage="1" showErrorMessage="1" sqref="H2:H4 N6:N12" xr:uid="{00000000-0002-0000-0000-000005000000}">
      <formula1>"是,否"</formula1>
    </dataValidation>
    <dataValidation type="list" allowBlank="1" showInputMessage="1" showErrorMessage="1" sqref="E7:E11" xr:uid="{2DC189D1-6CB6-455E-89CB-94BEC1CDE42F}">
      <formula1>"必须,无须"</formula1>
    </dataValidation>
  </dataValidations>
  <hyperlinks>
    <hyperlink ref="B8" location="'WP-01'!A1" tooltip="单击此处将定位到表[WP-00]" display="WP-01" xr:uid="{00000000-0004-0000-0000-000000000000}"/>
    <hyperlink ref="B7" location="'WP-00'!A1" tooltip="单击此处将定位到表[WP-00]" display="WP-00" xr:uid="{00000000-0004-0000-0000-000001000000}"/>
    <hyperlink ref="B9:B10" location="'WP-01'!A1" tooltip="单击此处将定位到表[WP-00]" display="WP-01" xr:uid="{00000000-0004-0000-0000-000002000000}"/>
    <hyperlink ref="B9" location="'WP-02'!A1" tooltip="单击此处将定位到工作底稿表[WP-02]" display="WP-02" xr:uid="{00000000-0004-0000-0000-000003000000}"/>
    <hyperlink ref="B10" location="'WP-03'!A1" tooltip="单击此处将定位到工作底稿表[WP-03]" display="WP-03" xr:uid="{00000000-0004-0000-0000-000004000000}"/>
    <hyperlink ref="B11" location="'WP-04'!A1" tooltip="单击此处将定位到工作底稿表[WP-04]" display="WP-04" xr:uid="{F1E6ECDA-C60A-4E15-9AC5-83E11183BBAA}"/>
  </hyperlinks>
  <printOptions horizontalCentered="1"/>
  <pageMargins left="0" right="0" top="0.78740157480314965" bottom="0.19685039370078741" header="0" footer="0"/>
  <pageSetup paperSize="9" scale="89" orientation="landscape" blackAndWhite="1" horizontalDpi="200" verticalDpi="200" r:id="rId1"/>
  <headerFooter alignWithMargins="0"/>
  <drawing r:id="rId2"/>
  <legacyDrawing r:id="rId3"/>
  <controls>
    <mc:AlternateContent xmlns:mc="http://schemas.openxmlformats.org/markup-compatibility/2006">
      <mc:Choice Requires="x14">
        <control shapeId="5245" r:id="rId4" name="CommandButton1">
          <controlPr defaultSize="0" print="0" autoFill="0" autoLine="0" autoPict="0" r:id="rId5">
            <anchor moveWithCells="1">
              <from>
                <xdr:col>13</xdr:col>
                <xdr:colOff>50800</xdr:colOff>
                <xdr:row>1</xdr:row>
                <xdr:rowOff>12700</xdr:rowOff>
              </from>
              <to>
                <xdr:col>13</xdr:col>
                <xdr:colOff>641350</xdr:colOff>
                <xdr:row>1</xdr:row>
                <xdr:rowOff>260350</xdr:rowOff>
              </to>
            </anchor>
          </controlPr>
        </control>
      </mc:Choice>
      <mc:Fallback>
        <control shapeId="5245" r:id="rId4" name="CommandButton1"/>
      </mc:Fallback>
    </mc:AlternateContent>
    <mc:AlternateContent xmlns:mc="http://schemas.openxmlformats.org/markup-compatibility/2006">
      <mc:Choice Requires="x14">
        <control shapeId="5246" r:id="rId6" name="CommandButton2">
          <controlPr defaultSize="0" print="0" autoLine="0" autoPict="0" r:id="rId7">
            <anchor moveWithCells="1">
              <from>
                <xdr:col>13</xdr:col>
                <xdr:colOff>38100</xdr:colOff>
                <xdr:row>2</xdr:row>
                <xdr:rowOff>12700</xdr:rowOff>
              </from>
              <to>
                <xdr:col>13</xdr:col>
                <xdr:colOff>647700</xdr:colOff>
                <xdr:row>2</xdr:row>
                <xdr:rowOff>260350</xdr:rowOff>
              </to>
            </anchor>
          </controlPr>
        </control>
      </mc:Choice>
      <mc:Fallback>
        <control shapeId="5246" r:id="rId6"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Q171"/>
  <sheetViews>
    <sheetView workbookViewId="0">
      <selection activeCell="F10" sqref="F10"/>
    </sheetView>
  </sheetViews>
  <sheetFormatPr defaultColWidth="9" defaultRowHeight="13"/>
  <cols>
    <col min="1" max="1" width="2.08203125" style="1" customWidth="1"/>
    <col min="2" max="2" width="5.83203125" style="1" customWidth="1"/>
    <col min="3" max="3" width="18.5" style="2" customWidth="1"/>
    <col min="4" max="4" width="13" style="2" customWidth="1"/>
    <col min="5" max="6" width="12.83203125" style="1" customWidth="1"/>
    <col min="7" max="7" width="7" style="1" customWidth="1"/>
    <col min="8" max="8" width="11.58203125" style="1" customWidth="1"/>
    <col min="9" max="9" width="10.08203125" style="1" customWidth="1"/>
    <col min="10" max="12" width="9" style="1"/>
    <col min="13" max="13" width="8.5" style="1" customWidth="1"/>
    <col min="14" max="14" width="9.83203125" style="1" customWidth="1"/>
    <col min="15" max="15" width="9" style="1"/>
    <col min="16" max="16" width="11.33203125" style="1" customWidth="1"/>
    <col min="17" max="17" width="11.08203125" style="1" customWidth="1"/>
    <col min="18" max="16384" width="9" style="1"/>
  </cols>
  <sheetData>
    <row r="1" spans="1:17" s="17" customFormat="1" ht="33" customHeight="1">
      <c r="A1" s="20" t="s">
        <v>107</v>
      </c>
      <c r="B1" s="182" t="s">
        <v>562</v>
      </c>
      <c r="C1" s="182"/>
      <c r="Q1" s="102" t="str">
        <f>index!D7</f>
        <v>&lt;5017-01&gt;</v>
      </c>
    </row>
    <row r="2" spans="1:17" ht="16.5" customHeight="1">
      <c r="B2" s="134" t="s">
        <v>578</v>
      </c>
      <c r="C2" s="135"/>
      <c r="D2" s="135"/>
      <c r="E2" s="181"/>
      <c r="F2" s="181"/>
      <c r="G2" s="181"/>
      <c r="H2" s="181"/>
      <c r="I2" s="181"/>
      <c r="J2" s="181"/>
      <c r="K2" s="181"/>
      <c r="L2" s="181"/>
      <c r="M2" s="181"/>
      <c r="N2" s="181"/>
      <c r="O2" s="181"/>
      <c r="P2" s="181"/>
      <c r="Q2" s="181"/>
    </row>
    <row r="3" spans="1:17" ht="6" customHeight="1"/>
    <row r="4" spans="1:17">
      <c r="B4" s="183" t="s">
        <v>390</v>
      </c>
      <c r="C4" s="184"/>
      <c r="D4" s="184"/>
      <c r="E4" s="185"/>
      <c r="F4" s="185"/>
      <c r="G4" s="185"/>
      <c r="H4" s="185"/>
      <c r="I4" s="185"/>
      <c r="J4" s="185"/>
      <c r="K4" s="185"/>
      <c r="L4" s="185"/>
      <c r="M4" s="185"/>
      <c r="N4" s="185"/>
      <c r="O4" s="185"/>
      <c r="P4" s="185"/>
      <c r="Q4" s="186"/>
    </row>
    <row r="5" spans="1:17" ht="26.5" customHeight="1">
      <c r="B5" s="290" t="s">
        <v>391</v>
      </c>
      <c r="C5" s="291"/>
      <c r="D5" s="291"/>
      <c r="E5" s="291"/>
      <c r="F5" s="291"/>
      <c r="G5" s="291"/>
      <c r="H5" s="291"/>
      <c r="I5" s="291"/>
      <c r="J5" s="291"/>
      <c r="K5" s="291"/>
      <c r="L5" s="291"/>
      <c r="M5" s="291"/>
      <c r="N5" s="291"/>
      <c r="O5" s="291"/>
      <c r="P5" s="291"/>
      <c r="Q5" s="292"/>
    </row>
    <row r="6" spans="1:17" ht="8.5" customHeight="1"/>
    <row r="7" spans="1:17" ht="15" customHeight="1">
      <c r="B7" s="140" t="s">
        <v>392</v>
      </c>
      <c r="C7" s="140"/>
      <c r="D7" s="139"/>
      <c r="E7" s="139"/>
      <c r="F7" s="139"/>
      <c r="G7" s="139"/>
      <c r="H7" s="139"/>
      <c r="I7" s="139"/>
      <c r="J7" s="139"/>
      <c r="K7" s="139"/>
      <c r="L7" s="141"/>
      <c r="M7" s="141"/>
      <c r="N7" s="141"/>
      <c r="O7" s="141"/>
      <c r="P7" s="141"/>
      <c r="Q7" s="141"/>
    </row>
    <row r="8" spans="1:17" ht="15" customHeight="1">
      <c r="B8" s="139" t="s">
        <v>445</v>
      </c>
      <c r="C8" s="140"/>
      <c r="D8" s="139"/>
      <c r="E8" s="139"/>
      <c r="F8" s="139"/>
      <c r="G8" s="139"/>
      <c r="H8" s="139"/>
      <c r="I8" s="139"/>
      <c r="J8" s="139"/>
      <c r="K8" s="139"/>
      <c r="L8" s="141"/>
      <c r="M8" s="141"/>
      <c r="N8" s="141"/>
      <c r="O8" s="141"/>
      <c r="P8" s="141"/>
      <c r="Q8" s="141"/>
    </row>
    <row r="9" spans="1:17" ht="24" customHeight="1">
      <c r="B9" s="163" t="s">
        <v>393</v>
      </c>
      <c r="C9" s="163" t="s">
        <v>394</v>
      </c>
      <c r="D9" s="163" t="s">
        <v>395</v>
      </c>
      <c r="E9" s="163" t="s">
        <v>396</v>
      </c>
      <c r="F9" s="163" t="s">
        <v>397</v>
      </c>
      <c r="G9" s="163" t="s">
        <v>398</v>
      </c>
      <c r="H9" s="163" t="s">
        <v>399</v>
      </c>
      <c r="I9" s="163" t="s">
        <v>400</v>
      </c>
      <c r="J9" s="163" t="s">
        <v>401</v>
      </c>
      <c r="K9" s="163" t="s">
        <v>402</v>
      </c>
      <c r="L9" s="163" t="s">
        <v>403</v>
      </c>
      <c r="M9" s="163" t="s">
        <v>404</v>
      </c>
      <c r="N9" s="163" t="s">
        <v>405</v>
      </c>
      <c r="O9" s="163" t="s">
        <v>406</v>
      </c>
      <c r="P9" s="163" t="s">
        <v>407</v>
      </c>
      <c r="Q9" s="163" t="s">
        <v>408</v>
      </c>
    </row>
    <row r="10" spans="1:17" ht="15" customHeight="1">
      <c r="B10" s="143" t="s">
        <v>409</v>
      </c>
      <c r="C10" s="144" t="s">
        <v>567</v>
      </c>
      <c r="D10" s="145" t="s">
        <v>411</v>
      </c>
      <c r="E10" s="6" t="s">
        <v>581</v>
      </c>
      <c r="F10" s="6" t="s">
        <v>586</v>
      </c>
      <c r="G10" s="148" t="s">
        <v>412</v>
      </c>
      <c r="H10" s="221" t="s">
        <v>589</v>
      </c>
      <c r="I10" s="373">
        <v>44432</v>
      </c>
      <c r="J10" s="289" t="s">
        <v>592</v>
      </c>
      <c r="K10" s="149"/>
      <c r="L10" s="149"/>
      <c r="M10" s="149" t="s">
        <v>414</v>
      </c>
      <c r="N10" s="145"/>
      <c r="O10" s="145"/>
      <c r="P10" s="150"/>
      <c r="Q10" s="298" t="s">
        <v>439</v>
      </c>
    </row>
    <row r="11" spans="1:17" ht="15" customHeight="1">
      <c r="B11" s="143" t="s">
        <v>415</v>
      </c>
      <c r="C11" s="144" t="s">
        <v>567</v>
      </c>
      <c r="D11" s="289" t="s">
        <v>411</v>
      </c>
      <c r="E11" s="6" t="s">
        <v>582</v>
      </c>
      <c r="F11" s="6" t="s">
        <v>587</v>
      </c>
      <c r="G11" s="148" t="s">
        <v>412</v>
      </c>
      <c r="H11" s="224" t="s">
        <v>591</v>
      </c>
      <c r="I11" s="373">
        <v>44196</v>
      </c>
      <c r="J11" s="143" t="s">
        <v>413</v>
      </c>
      <c r="K11" s="149"/>
      <c r="L11" s="160">
        <v>44431</v>
      </c>
      <c r="M11" s="149" t="s">
        <v>418</v>
      </c>
      <c r="N11" s="145"/>
      <c r="O11" s="145"/>
      <c r="P11" s="150"/>
      <c r="Q11" s="299"/>
    </row>
    <row r="12" spans="1:17" ht="15" customHeight="1">
      <c r="B12" s="143" t="s">
        <v>419</v>
      </c>
      <c r="C12" s="144" t="s">
        <v>567</v>
      </c>
      <c r="D12" s="289" t="s">
        <v>411</v>
      </c>
      <c r="E12" s="6" t="s">
        <v>583</v>
      </c>
      <c r="F12" s="6" t="s">
        <v>588</v>
      </c>
      <c r="G12" s="148" t="s">
        <v>412</v>
      </c>
      <c r="H12" s="221" t="s">
        <v>590</v>
      </c>
      <c r="I12" s="373">
        <v>44432</v>
      </c>
      <c r="J12" s="143" t="s">
        <v>421</v>
      </c>
      <c r="K12" s="149"/>
      <c r="L12" s="149"/>
      <c r="M12" s="149" t="s">
        <v>418</v>
      </c>
      <c r="N12" s="145"/>
      <c r="O12" s="145"/>
      <c r="P12" s="151"/>
      <c r="Q12" s="299"/>
    </row>
    <row r="13" spans="1:17" ht="15" hidden="1" customHeight="1">
      <c r="B13" s="164" t="s">
        <v>423</v>
      </c>
      <c r="C13" s="153"/>
      <c r="D13" s="153"/>
      <c r="E13" s="153"/>
      <c r="F13" s="153"/>
      <c r="G13" s="153"/>
      <c r="H13" s="153"/>
      <c r="I13" s="154"/>
      <c r="J13" s="155"/>
      <c r="K13" s="141"/>
      <c r="L13" s="141"/>
      <c r="M13" s="141"/>
      <c r="N13" s="141"/>
      <c r="O13" s="141"/>
      <c r="P13" s="141"/>
      <c r="Q13" s="141"/>
    </row>
    <row r="14" spans="1:17" ht="24" hidden="1" customHeight="1">
      <c r="B14" s="163" t="s">
        <v>393</v>
      </c>
      <c r="C14" s="163" t="s">
        <v>394</v>
      </c>
      <c r="D14" s="163" t="s">
        <v>395</v>
      </c>
      <c r="E14" s="163" t="s">
        <v>396</v>
      </c>
      <c r="F14" s="163" t="s">
        <v>397</v>
      </c>
      <c r="G14" s="163" t="s">
        <v>398</v>
      </c>
      <c r="H14" s="163" t="s">
        <v>399</v>
      </c>
      <c r="I14" s="163" t="s">
        <v>400</v>
      </c>
      <c r="J14" s="163" t="s">
        <v>401</v>
      </c>
      <c r="K14" s="163" t="s">
        <v>402</v>
      </c>
      <c r="L14" s="163" t="s">
        <v>403</v>
      </c>
      <c r="M14" s="163" t="s">
        <v>404</v>
      </c>
      <c r="N14" s="163" t="s">
        <v>405</v>
      </c>
      <c r="O14" s="163" t="s">
        <v>406</v>
      </c>
      <c r="P14" s="300" t="s">
        <v>407</v>
      </c>
      <c r="Q14" s="300"/>
    </row>
    <row r="15" spans="1:17" ht="15" hidden="1" customHeight="1">
      <c r="B15" s="143">
        <v>1</v>
      </c>
      <c r="C15" s="144" t="s">
        <v>410</v>
      </c>
      <c r="D15" s="145" t="s">
        <v>411</v>
      </c>
      <c r="E15" s="146" t="s">
        <v>441</v>
      </c>
      <c r="F15" s="147" t="s">
        <v>440</v>
      </c>
      <c r="G15" s="148" t="s">
        <v>424</v>
      </c>
      <c r="H15" s="148"/>
      <c r="I15" s="149">
        <v>40219</v>
      </c>
      <c r="J15" s="143" t="s">
        <v>421</v>
      </c>
      <c r="K15" s="149"/>
      <c r="L15" s="149"/>
      <c r="M15" s="149" t="s">
        <v>418</v>
      </c>
      <c r="N15" s="145"/>
      <c r="O15" s="145"/>
      <c r="P15" s="301" t="s">
        <v>425</v>
      </c>
      <c r="Q15" s="301"/>
    </row>
    <row r="16" spans="1:17" ht="15" hidden="1" customHeight="1">
      <c r="B16" s="143">
        <v>2</v>
      </c>
      <c r="C16" s="144" t="s">
        <v>416</v>
      </c>
      <c r="D16" s="145" t="s">
        <v>417</v>
      </c>
      <c r="E16" s="146" t="s">
        <v>442</v>
      </c>
      <c r="F16" s="147" t="s">
        <v>440</v>
      </c>
      <c r="G16" s="148" t="s">
        <v>412</v>
      </c>
      <c r="H16" s="148"/>
      <c r="I16" s="149">
        <v>40703</v>
      </c>
      <c r="J16" s="143" t="s">
        <v>421</v>
      </c>
      <c r="K16" s="149"/>
      <c r="L16" s="149"/>
      <c r="M16" s="149" t="s">
        <v>418</v>
      </c>
      <c r="N16" s="145"/>
      <c r="O16" s="145"/>
      <c r="P16" s="301" t="s">
        <v>425</v>
      </c>
      <c r="Q16" s="301"/>
    </row>
    <row r="17" spans="2:17" ht="15" hidden="1" customHeight="1">
      <c r="B17" s="143">
        <v>3</v>
      </c>
      <c r="C17" s="144" t="s">
        <v>420</v>
      </c>
      <c r="D17" s="145" t="s">
        <v>417</v>
      </c>
      <c r="E17" s="146" t="s">
        <v>443</v>
      </c>
      <c r="F17" s="147" t="s">
        <v>440</v>
      </c>
      <c r="G17" s="156" t="s">
        <v>426</v>
      </c>
      <c r="H17" s="148"/>
      <c r="I17" s="149"/>
      <c r="J17" s="143" t="s">
        <v>427</v>
      </c>
      <c r="K17" s="149"/>
      <c r="L17" s="149"/>
      <c r="M17" s="149" t="s">
        <v>418</v>
      </c>
      <c r="N17" s="145"/>
      <c r="O17" s="145"/>
      <c r="P17" s="301" t="s">
        <v>425</v>
      </c>
      <c r="Q17" s="301"/>
    </row>
    <row r="18" spans="2:17" ht="15" hidden="1" customHeight="1">
      <c r="B18" s="143">
        <v>4</v>
      </c>
      <c r="C18" s="144" t="s">
        <v>422</v>
      </c>
      <c r="D18" s="145" t="s">
        <v>417</v>
      </c>
      <c r="E18" s="146" t="s">
        <v>444</v>
      </c>
      <c r="F18" s="147" t="s">
        <v>440</v>
      </c>
      <c r="G18" s="156" t="s">
        <v>428</v>
      </c>
      <c r="H18" s="148"/>
      <c r="I18" s="149"/>
      <c r="J18" s="143" t="s">
        <v>427</v>
      </c>
      <c r="K18" s="149"/>
      <c r="L18" s="149"/>
      <c r="M18" s="149" t="s">
        <v>418</v>
      </c>
      <c r="N18" s="145"/>
      <c r="O18" s="145"/>
      <c r="P18" s="301" t="s">
        <v>425</v>
      </c>
      <c r="Q18" s="301"/>
    </row>
    <row r="19" spans="2:17" ht="6.65" customHeight="1">
      <c r="B19" s="152"/>
      <c r="C19" s="153"/>
      <c r="D19" s="153"/>
      <c r="E19" s="153"/>
      <c r="F19" s="153"/>
      <c r="G19" s="153"/>
      <c r="H19" s="153"/>
      <c r="I19" s="154"/>
      <c r="J19" s="155"/>
      <c r="K19" s="141"/>
      <c r="L19" s="141"/>
      <c r="M19" s="141"/>
      <c r="N19" s="141"/>
      <c r="O19" s="141"/>
      <c r="P19" s="141"/>
      <c r="Q19" s="141"/>
    </row>
    <row r="20" spans="2:17" ht="15" hidden="1" customHeight="1">
      <c r="B20" s="152" t="s">
        <v>429</v>
      </c>
      <c r="C20" s="153"/>
      <c r="D20" s="153"/>
      <c r="E20" s="153"/>
      <c r="F20" s="153"/>
      <c r="G20" s="153"/>
      <c r="H20" s="153"/>
      <c r="I20" s="154"/>
      <c r="J20" s="155"/>
      <c r="K20" s="141"/>
      <c r="L20" s="141"/>
      <c r="M20" s="141"/>
      <c r="N20" s="141"/>
      <c r="O20" s="141"/>
      <c r="P20" s="141"/>
      <c r="Q20" s="141"/>
    </row>
    <row r="21" spans="2:17" ht="24" hidden="1" customHeight="1">
      <c r="B21" s="163" t="s">
        <v>393</v>
      </c>
      <c r="C21" s="163" t="s">
        <v>394</v>
      </c>
      <c r="D21" s="163" t="s">
        <v>395</v>
      </c>
      <c r="E21" s="163" t="s">
        <v>396</v>
      </c>
      <c r="F21" s="163" t="s">
        <v>397</v>
      </c>
      <c r="G21" s="163" t="s">
        <v>398</v>
      </c>
      <c r="H21" s="163" t="s">
        <v>399</v>
      </c>
      <c r="I21" s="163" t="s">
        <v>400</v>
      </c>
      <c r="J21" s="163" t="s">
        <v>401</v>
      </c>
      <c r="K21" s="163" t="s">
        <v>402</v>
      </c>
      <c r="L21" s="163" t="s">
        <v>403</v>
      </c>
      <c r="M21" s="163" t="s">
        <v>404</v>
      </c>
      <c r="N21" s="163" t="s">
        <v>405</v>
      </c>
      <c r="O21" s="163" t="s">
        <v>406</v>
      </c>
      <c r="P21" s="300" t="s">
        <v>430</v>
      </c>
      <c r="Q21" s="300"/>
    </row>
    <row r="22" spans="2:17" ht="15" hidden="1" customHeight="1">
      <c r="B22" s="157">
        <v>1</v>
      </c>
      <c r="C22" s="144" t="s">
        <v>410</v>
      </c>
      <c r="D22" s="145" t="s">
        <v>411</v>
      </c>
      <c r="E22" s="158"/>
      <c r="F22" s="159"/>
      <c r="G22" s="158" t="s">
        <v>412</v>
      </c>
      <c r="H22" s="148"/>
      <c r="I22" s="160">
        <v>39595</v>
      </c>
      <c r="J22" s="157" t="s">
        <v>421</v>
      </c>
      <c r="K22" s="142"/>
      <c r="L22" s="142"/>
      <c r="M22" s="160" t="s">
        <v>418</v>
      </c>
      <c r="N22" s="161" t="s">
        <v>431</v>
      </c>
      <c r="O22" s="161"/>
      <c r="P22" s="297" t="s">
        <v>432</v>
      </c>
      <c r="Q22" s="297"/>
    </row>
    <row r="23" spans="2:17" ht="15" hidden="1" customHeight="1">
      <c r="B23" s="157">
        <v>2</v>
      </c>
      <c r="C23" s="144" t="s">
        <v>416</v>
      </c>
      <c r="D23" s="145" t="s">
        <v>417</v>
      </c>
      <c r="E23" s="158"/>
      <c r="F23" s="158"/>
      <c r="G23" s="158" t="s">
        <v>412</v>
      </c>
      <c r="H23" s="148"/>
      <c r="I23" s="160">
        <v>40905</v>
      </c>
      <c r="J23" s="157" t="s">
        <v>421</v>
      </c>
      <c r="K23" s="160"/>
      <c r="L23" s="160"/>
      <c r="M23" s="160" t="s">
        <v>418</v>
      </c>
      <c r="N23" s="161" t="s">
        <v>431</v>
      </c>
      <c r="O23" s="161"/>
      <c r="P23" s="297" t="s">
        <v>432</v>
      </c>
      <c r="Q23" s="297"/>
    </row>
    <row r="24" spans="2:17" ht="10.75" customHeight="1">
      <c r="B24" s="152"/>
      <c r="C24" s="153"/>
      <c r="D24" s="153"/>
      <c r="E24" s="153"/>
      <c r="F24" s="153"/>
      <c r="G24" s="153"/>
      <c r="H24" s="153"/>
      <c r="I24" s="154"/>
      <c r="J24" s="155"/>
      <c r="K24" s="141"/>
      <c r="L24" s="141"/>
      <c r="M24" s="141"/>
      <c r="N24" s="141"/>
      <c r="O24" s="141"/>
      <c r="P24" s="141"/>
      <c r="Q24" s="141"/>
    </row>
    <row r="25" spans="2:17" ht="15" customHeight="1">
      <c r="B25" s="140" t="s">
        <v>433</v>
      </c>
      <c r="C25" s="139"/>
      <c r="D25" s="139"/>
      <c r="E25" s="139"/>
      <c r="F25" s="139"/>
      <c r="G25" s="139"/>
      <c r="H25" s="139"/>
      <c r="I25" s="139"/>
      <c r="J25" s="155"/>
      <c r="K25" s="141"/>
      <c r="L25" s="141"/>
      <c r="M25" s="141"/>
      <c r="N25" s="141"/>
      <c r="O25" s="141"/>
      <c r="P25" s="141"/>
      <c r="Q25" s="141"/>
    </row>
    <row r="26" spans="2:17" ht="30.65" customHeight="1">
      <c r="B26" s="167" t="s">
        <v>393</v>
      </c>
      <c r="C26" s="167" t="s">
        <v>434</v>
      </c>
      <c r="D26" s="163" t="s">
        <v>395</v>
      </c>
      <c r="E26" s="167" t="s">
        <v>435</v>
      </c>
      <c r="F26" s="163" t="s">
        <v>397</v>
      </c>
      <c r="G26" s="163" t="s">
        <v>398</v>
      </c>
      <c r="H26" s="163" t="s">
        <v>399</v>
      </c>
      <c r="I26" s="163" t="s">
        <v>400</v>
      </c>
      <c r="J26" s="163" t="s">
        <v>401</v>
      </c>
      <c r="K26" s="163" t="s">
        <v>402</v>
      </c>
      <c r="L26" s="167" t="s">
        <v>403</v>
      </c>
      <c r="M26" s="167" t="s">
        <v>437</v>
      </c>
      <c r="N26" s="180" t="s">
        <v>438</v>
      </c>
      <c r="O26" s="294" t="s">
        <v>436</v>
      </c>
      <c r="P26" s="294"/>
      <c r="Q26" s="167" t="s">
        <v>408</v>
      </c>
    </row>
    <row r="27" spans="2:17" ht="18" customHeight="1">
      <c r="B27" s="157">
        <v>1</v>
      </c>
      <c r="C27" s="144" t="s">
        <v>567</v>
      </c>
      <c r="D27" s="165" t="s">
        <v>584</v>
      </c>
      <c r="E27" s="371" t="s">
        <v>585</v>
      </c>
      <c r="F27" s="6" t="s">
        <v>587</v>
      </c>
      <c r="G27" s="158" t="s">
        <v>412</v>
      </c>
      <c r="H27" s="372" t="s">
        <v>591</v>
      </c>
      <c r="I27" s="373">
        <v>44196</v>
      </c>
      <c r="J27" s="143" t="s">
        <v>413</v>
      </c>
      <c r="K27" s="142"/>
      <c r="L27" s="160">
        <v>44431</v>
      </c>
      <c r="M27" s="160"/>
      <c r="N27" s="162" t="s">
        <v>431</v>
      </c>
      <c r="O27" s="295"/>
      <c r="P27" s="296"/>
      <c r="Q27" s="166"/>
    </row>
    <row r="28" spans="2:17" ht="13" customHeight="1">
      <c r="B28" s="177"/>
      <c r="C28" s="178"/>
      <c r="D28" s="175"/>
      <c r="E28" s="168"/>
      <c r="F28" s="169"/>
      <c r="G28" s="170"/>
      <c r="H28" s="171"/>
      <c r="I28" s="172"/>
      <c r="J28" s="173"/>
      <c r="K28" s="172"/>
      <c r="L28" s="172"/>
      <c r="M28" s="172"/>
      <c r="N28" s="174"/>
      <c r="O28" s="175"/>
      <c r="P28" s="174"/>
      <c r="Q28" s="176"/>
    </row>
    <row r="29" spans="2:17" ht="13.4" customHeight="1">
      <c r="B29" s="303" t="s">
        <v>447</v>
      </c>
      <c r="C29" s="303"/>
      <c r="D29" s="303"/>
      <c r="E29" s="303"/>
      <c r="F29" s="303"/>
      <c r="G29" s="303"/>
      <c r="H29" s="303"/>
      <c r="I29" s="303"/>
      <c r="J29" s="303"/>
      <c r="K29" s="303"/>
      <c r="L29" s="303"/>
      <c r="M29" s="303"/>
      <c r="N29" s="303"/>
      <c r="O29" s="303"/>
      <c r="P29" s="303"/>
      <c r="Q29" s="303"/>
    </row>
    <row r="30" spans="2:17">
      <c r="B30" s="293" t="s">
        <v>448</v>
      </c>
      <c r="C30" s="293"/>
      <c r="D30" s="293"/>
      <c r="E30" s="293"/>
      <c r="F30" s="293"/>
      <c r="G30" s="293"/>
      <c r="H30" s="293"/>
      <c r="I30" s="293"/>
      <c r="J30" s="293"/>
      <c r="K30" s="293"/>
      <c r="L30" s="293"/>
      <c r="M30" s="293"/>
      <c r="N30" s="174"/>
      <c r="O30" s="175"/>
      <c r="P30" s="174"/>
      <c r="Q30" s="176"/>
    </row>
    <row r="31" spans="2:17" ht="26.5" customHeight="1">
      <c r="B31" s="304" t="s">
        <v>560</v>
      </c>
      <c r="C31" s="305"/>
      <c r="D31" s="305"/>
      <c r="E31" s="305"/>
      <c r="F31" s="305"/>
      <c r="G31" s="305"/>
      <c r="H31" s="305"/>
      <c r="I31" s="305"/>
      <c r="J31" s="305"/>
      <c r="K31" s="305"/>
      <c r="L31" s="305"/>
      <c r="M31" s="305"/>
      <c r="N31" s="305"/>
      <c r="O31" s="305"/>
      <c r="P31" s="305"/>
      <c r="Q31" s="306"/>
    </row>
    <row r="32" spans="2:17">
      <c r="B32" s="293" t="s">
        <v>449</v>
      </c>
      <c r="C32" s="293"/>
      <c r="D32" s="293"/>
      <c r="E32" s="293"/>
      <c r="F32" s="293"/>
      <c r="G32" s="293"/>
      <c r="H32" s="293"/>
      <c r="I32" s="293"/>
      <c r="J32" s="293"/>
      <c r="K32" s="293"/>
      <c r="L32" s="293"/>
      <c r="M32" s="293"/>
      <c r="N32" s="174"/>
      <c r="O32" s="175"/>
      <c r="P32" s="174"/>
      <c r="Q32" s="176"/>
    </row>
    <row r="33" spans="2:17" ht="18" customHeight="1">
      <c r="B33" s="374" t="s">
        <v>594</v>
      </c>
      <c r="C33" s="308"/>
      <c r="D33" s="308"/>
      <c r="E33" s="308"/>
      <c r="F33" s="308"/>
      <c r="G33" s="308"/>
      <c r="H33" s="308"/>
      <c r="I33" s="308"/>
      <c r="J33" s="308"/>
      <c r="K33" s="308"/>
      <c r="L33" s="308"/>
      <c r="M33" s="308"/>
      <c r="N33" s="308"/>
      <c r="O33" s="308"/>
      <c r="P33" s="308"/>
      <c r="Q33" s="309"/>
    </row>
    <row r="34" spans="2:17">
      <c r="B34" s="293" t="s">
        <v>450</v>
      </c>
      <c r="C34" s="293"/>
      <c r="D34" s="293"/>
      <c r="E34" s="293"/>
      <c r="F34" s="293"/>
      <c r="G34" s="293"/>
      <c r="H34" s="293"/>
      <c r="I34" s="293"/>
      <c r="J34" s="293"/>
      <c r="K34" s="293"/>
      <c r="L34" s="293"/>
      <c r="M34" s="293"/>
      <c r="N34" s="174"/>
      <c r="O34" s="175"/>
      <c r="P34" s="174"/>
      <c r="Q34" s="176"/>
    </row>
    <row r="35" spans="2:17" ht="18" customHeight="1">
      <c r="B35" s="374" t="s">
        <v>595</v>
      </c>
      <c r="C35" s="308"/>
      <c r="D35" s="308"/>
      <c r="E35" s="308"/>
      <c r="F35" s="308"/>
      <c r="G35" s="308"/>
      <c r="H35" s="308"/>
      <c r="I35" s="308"/>
      <c r="J35" s="308"/>
      <c r="K35" s="308"/>
      <c r="L35" s="308"/>
      <c r="M35" s="308"/>
      <c r="N35" s="308"/>
      <c r="O35" s="308"/>
      <c r="P35" s="308"/>
      <c r="Q35" s="309"/>
    </row>
    <row r="36" spans="2:17">
      <c r="B36" s="293" t="s">
        <v>451</v>
      </c>
      <c r="C36" s="293"/>
      <c r="D36" s="293"/>
      <c r="E36" s="293"/>
      <c r="F36" s="293"/>
      <c r="G36" s="293"/>
      <c r="H36" s="293"/>
      <c r="I36" s="293"/>
      <c r="J36" s="293"/>
      <c r="K36" s="293"/>
      <c r="L36" s="293"/>
      <c r="M36" s="293"/>
      <c r="N36" s="174"/>
      <c r="O36" s="175"/>
      <c r="P36" s="174"/>
      <c r="Q36" s="176"/>
    </row>
    <row r="37" spans="2:17" ht="18" customHeight="1">
      <c r="B37" s="307" t="s">
        <v>452</v>
      </c>
      <c r="C37" s="308"/>
      <c r="D37" s="308"/>
      <c r="E37" s="308"/>
      <c r="F37" s="308"/>
      <c r="G37" s="308"/>
      <c r="H37" s="308"/>
      <c r="I37" s="308"/>
      <c r="J37" s="308"/>
      <c r="K37" s="308"/>
      <c r="L37" s="308"/>
      <c r="M37" s="308"/>
      <c r="N37" s="308"/>
      <c r="O37" s="308"/>
      <c r="P37" s="308"/>
      <c r="Q37" s="309"/>
    </row>
    <row r="38" spans="2:17">
      <c r="B38" s="293" t="s">
        <v>453</v>
      </c>
      <c r="C38" s="293"/>
      <c r="D38" s="293"/>
      <c r="E38" s="293"/>
      <c r="F38" s="293"/>
      <c r="G38" s="293"/>
      <c r="H38" s="293"/>
      <c r="I38" s="293"/>
      <c r="J38" s="293"/>
      <c r="K38" s="293"/>
      <c r="L38" s="293"/>
      <c r="M38" s="293"/>
      <c r="N38" s="174"/>
      <c r="O38" s="175"/>
      <c r="P38" s="174"/>
      <c r="Q38" s="176"/>
    </row>
    <row r="39" spans="2:17" ht="18" customHeight="1">
      <c r="B39" s="307" t="s">
        <v>454</v>
      </c>
      <c r="C39" s="308"/>
      <c r="D39" s="308"/>
      <c r="E39" s="308"/>
      <c r="F39" s="308"/>
      <c r="G39" s="308"/>
      <c r="H39" s="308"/>
      <c r="I39" s="308"/>
      <c r="J39" s="308"/>
      <c r="K39" s="308"/>
      <c r="L39" s="308"/>
      <c r="M39" s="308"/>
      <c r="N39" s="308"/>
      <c r="O39" s="308"/>
      <c r="P39" s="308"/>
      <c r="Q39" s="309"/>
    </row>
    <row r="40" spans="2:17">
      <c r="B40" s="293" t="s">
        <v>455</v>
      </c>
      <c r="C40" s="293"/>
      <c r="D40" s="293"/>
      <c r="E40" s="293"/>
      <c r="F40" s="293"/>
      <c r="G40" s="293"/>
      <c r="H40" s="293"/>
      <c r="I40" s="293"/>
      <c r="J40" s="293"/>
      <c r="K40" s="293"/>
      <c r="L40" s="293"/>
      <c r="M40" s="293"/>
      <c r="N40" s="174"/>
      <c r="O40" s="175"/>
      <c r="P40" s="174"/>
      <c r="Q40" s="176"/>
    </row>
    <row r="41" spans="2:17" ht="18" customHeight="1">
      <c r="B41" s="307" t="s">
        <v>456</v>
      </c>
      <c r="C41" s="308"/>
      <c r="D41" s="308"/>
      <c r="E41" s="308"/>
      <c r="F41" s="308"/>
      <c r="G41" s="308"/>
      <c r="H41" s="308"/>
      <c r="I41" s="308"/>
      <c r="J41" s="308"/>
      <c r="K41" s="308"/>
      <c r="L41" s="308"/>
      <c r="M41" s="308"/>
      <c r="N41" s="308"/>
      <c r="O41" s="308"/>
      <c r="P41" s="308"/>
      <c r="Q41" s="309"/>
    </row>
    <row r="42" spans="2:17" ht="6" customHeight="1">
      <c r="B42" s="177"/>
      <c r="C42" s="178"/>
      <c r="D42" s="175"/>
      <c r="E42" s="168"/>
      <c r="F42" s="169"/>
      <c r="G42" s="170"/>
      <c r="H42" s="171"/>
      <c r="I42" s="172"/>
      <c r="J42" s="173"/>
      <c r="K42" s="172"/>
      <c r="L42" s="172"/>
      <c r="M42" s="172"/>
      <c r="N42" s="174"/>
      <c r="O42" s="175"/>
      <c r="P42" s="174"/>
      <c r="Q42" s="176"/>
    </row>
    <row r="43" spans="2:17" ht="18" customHeight="1">
      <c r="B43" s="179" t="s">
        <v>446</v>
      </c>
      <c r="C43" s="178"/>
      <c r="D43" s="175"/>
      <c r="E43" s="168"/>
      <c r="F43" s="169"/>
      <c r="G43" s="170"/>
      <c r="H43" s="171"/>
      <c r="I43" s="172"/>
      <c r="J43" s="173"/>
      <c r="K43" s="172"/>
      <c r="L43" s="172"/>
      <c r="M43" s="172"/>
      <c r="N43" s="174"/>
      <c r="O43" s="175"/>
      <c r="P43" s="174"/>
      <c r="Q43" s="176"/>
    </row>
    <row r="44" spans="2:17" ht="18" customHeight="1">
      <c r="B44" s="302" t="s">
        <v>593</v>
      </c>
      <c r="C44" s="302"/>
      <c r="D44" s="302"/>
      <c r="E44" s="302"/>
      <c r="F44" s="302"/>
      <c r="G44" s="302"/>
      <c r="H44" s="302"/>
      <c r="I44" s="302"/>
    </row>
    <row r="45" spans="2:17" ht="18" customHeight="1"/>
    <row r="46" spans="2:17" ht="18" customHeight="1"/>
    <row r="47" spans="2:17" ht="18" customHeight="1"/>
    <row r="48" spans="2:17"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row r="128" ht="18" customHeight="1"/>
    <row r="129" ht="18" customHeight="1"/>
    <row r="130" ht="18" customHeight="1"/>
    <row r="131" ht="18" customHeight="1"/>
    <row r="132" ht="18" customHeight="1"/>
    <row r="133" ht="18" customHeight="1"/>
    <row r="134" ht="18" customHeight="1"/>
    <row r="135" ht="18" customHeight="1"/>
    <row r="136" ht="18" customHeight="1"/>
    <row r="137" ht="18" customHeight="1"/>
    <row r="138" ht="18" customHeight="1"/>
    <row r="139" ht="18" customHeight="1"/>
    <row r="140" ht="18" customHeight="1"/>
    <row r="141" ht="18" customHeight="1"/>
    <row r="142" ht="18" customHeight="1"/>
    <row r="143" ht="18" customHeight="1"/>
    <row r="144" ht="18" customHeight="1"/>
    <row r="145" ht="18" customHeight="1"/>
    <row r="146" ht="18" customHeight="1"/>
    <row r="147" ht="18" customHeight="1"/>
    <row r="148" ht="18" customHeight="1"/>
    <row r="149" ht="18" customHeight="1"/>
    <row r="150" ht="18" customHeight="1"/>
    <row r="151" ht="18" customHeight="1"/>
    <row r="152" ht="18" customHeight="1"/>
    <row r="153" ht="18" customHeight="1"/>
    <row r="154" ht="18" customHeight="1"/>
    <row r="155" ht="18" customHeight="1"/>
    <row r="156" ht="18" customHeight="1"/>
    <row r="157" ht="18" customHeight="1"/>
    <row r="158" ht="18" customHeight="1"/>
    <row r="159" ht="18" customHeight="1"/>
    <row r="160" ht="18" customHeight="1"/>
    <row r="161" ht="18" customHeight="1"/>
    <row r="162" ht="18" customHeight="1"/>
    <row r="163" ht="18" customHeight="1"/>
    <row r="164" ht="18" customHeight="1"/>
    <row r="165" ht="18" customHeight="1"/>
    <row r="166" ht="18" customHeight="1"/>
    <row r="167" ht="18" customHeight="1"/>
    <row r="168" ht="18" customHeight="1"/>
    <row r="169" ht="18" customHeight="1"/>
    <row r="170" ht="18" customHeight="1"/>
    <row r="171" ht="18" customHeight="1"/>
  </sheetData>
  <mergeCells count="26">
    <mergeCell ref="B44:I44"/>
    <mergeCell ref="B40:M40"/>
    <mergeCell ref="B29:Q29"/>
    <mergeCell ref="B31:Q31"/>
    <mergeCell ref="B33:Q33"/>
    <mergeCell ref="B35:Q35"/>
    <mergeCell ref="B37:Q37"/>
    <mergeCell ref="B39:Q39"/>
    <mergeCell ref="B41:Q41"/>
    <mergeCell ref="B36:M36"/>
    <mergeCell ref="B38:M38"/>
    <mergeCell ref="B34:M34"/>
    <mergeCell ref="B5:Q5"/>
    <mergeCell ref="B30:M30"/>
    <mergeCell ref="B32:M32"/>
    <mergeCell ref="O26:P26"/>
    <mergeCell ref="O27:P27"/>
    <mergeCell ref="P22:Q22"/>
    <mergeCell ref="P23:Q23"/>
    <mergeCell ref="Q10:Q12"/>
    <mergeCell ref="P14:Q14"/>
    <mergeCell ref="P15:Q15"/>
    <mergeCell ref="P16:Q16"/>
    <mergeCell ref="P17:Q17"/>
    <mergeCell ref="P18:Q18"/>
    <mergeCell ref="P21:Q21"/>
  </mergeCells>
  <phoneticPr fontId="1" type="noConversion"/>
  <dataValidations count="2">
    <dataValidation type="list" allowBlank="1" showInputMessage="1" showErrorMessage="1" sqref="B44" xr:uid="{F4A02DBB-77FA-49DC-9F77-5E45C8AEA762}">
      <formula1>"未执行,已执行"</formula1>
    </dataValidation>
    <dataValidation type="list" allowBlank="1" showInputMessage="1" showErrorMessage="1" sqref="G17:G18" xr:uid="{5810F77E-B1E0-4BD2-BCFE-CF8F31241A93}">
      <formula1>"人民币,美元,欧元,日元,港元,英镑,澳门元,韩元,新加坡元,泰铢,瑞士法郎,加拿大元,澳元,台币,林吉特,印度卢比,新西兰元,瑞典克朗,丹麦克朗,墨西哥比索,菲律宾比索,印尼卢比,巴西雷亚尔,俄罗斯卢布"</formula1>
    </dataValidation>
  </dataValidations>
  <hyperlinks>
    <hyperlink ref="A1" location="index!A1" tooltip="单击此处将定位到表[index]" display="&lt;&lt;" xr:uid="{00000000-0004-0000-0100-000000000000}"/>
  </hyperlinks>
  <printOptions horizontalCentered="1" verticalCentered="1"/>
  <pageMargins left="0.31496062992125984" right="0.31496062992125984" top="0.35433070866141736" bottom="0.35433070866141736" header="0.31496062992125984" footer="0.31496062992125984"/>
  <pageSetup paperSize="9" scale="78" fitToHeight="0" orientation="landscape" horizontalDpi="4294967295" verticalDpi="4294967295"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J155"/>
  <sheetViews>
    <sheetView zoomScaleNormal="100" workbookViewId="0">
      <selection activeCell="F10" sqref="F10"/>
    </sheetView>
  </sheetViews>
  <sheetFormatPr defaultColWidth="9" defaultRowHeight="13"/>
  <cols>
    <col min="1" max="1" width="2.08203125" style="1" customWidth="1"/>
    <col min="2" max="2" width="5.33203125" style="1" customWidth="1"/>
    <col min="3" max="3" width="30.33203125" style="2" customWidth="1"/>
    <col min="4" max="4" width="10.58203125" style="2" customWidth="1"/>
    <col min="5" max="5" width="11.5" style="1" customWidth="1"/>
    <col min="6" max="6" width="18.83203125" style="1" customWidth="1"/>
    <col min="7" max="7" width="11.58203125" style="1" customWidth="1"/>
    <col min="8" max="8" width="9" style="1"/>
    <col min="9" max="9" width="10.33203125" style="1" customWidth="1"/>
    <col min="10" max="10" width="11.83203125" style="1" customWidth="1"/>
    <col min="11" max="16384" width="9" style="1"/>
  </cols>
  <sheetData>
    <row r="1" spans="1:10" s="17" customFormat="1" ht="33" customHeight="1">
      <c r="A1" s="20" t="s">
        <v>107</v>
      </c>
      <c r="B1" s="209" t="s">
        <v>563</v>
      </c>
      <c r="C1" s="209"/>
      <c r="J1" s="102" t="str">
        <f>index!$D$8</f>
        <v>&lt;5017-02&gt;</v>
      </c>
    </row>
    <row r="2" spans="1:10" ht="21" customHeight="1">
      <c r="B2" s="134" t="s">
        <v>578</v>
      </c>
      <c r="C2" s="135"/>
      <c r="D2" s="135"/>
      <c r="E2" s="135"/>
      <c r="F2" s="135"/>
      <c r="G2" s="135"/>
      <c r="H2" s="135"/>
      <c r="I2" s="135"/>
      <c r="J2" s="135"/>
    </row>
    <row r="3" spans="1:10" ht="6" customHeight="1"/>
    <row r="4" spans="1:10">
      <c r="B4" s="183" t="s">
        <v>390</v>
      </c>
      <c r="C4" s="184"/>
      <c r="D4" s="184"/>
      <c r="E4" s="185"/>
      <c r="F4" s="185"/>
      <c r="G4" s="185"/>
      <c r="H4" s="185"/>
      <c r="I4" s="185"/>
      <c r="J4" s="186"/>
    </row>
    <row r="5" spans="1:10" ht="25.4" customHeight="1">
      <c r="B5" s="290" t="s">
        <v>391</v>
      </c>
      <c r="C5" s="291"/>
      <c r="D5" s="291"/>
      <c r="E5" s="291"/>
      <c r="F5" s="291"/>
      <c r="G5" s="291"/>
      <c r="H5" s="291"/>
      <c r="I5" s="291"/>
      <c r="J5" s="292"/>
    </row>
    <row r="6" spans="1:10" ht="6.65" customHeight="1"/>
    <row r="7" spans="1:10" ht="18" customHeight="1">
      <c r="B7" s="210" t="s">
        <v>596</v>
      </c>
      <c r="C7" s="1"/>
      <c r="D7" s="188"/>
      <c r="E7" s="188"/>
      <c r="F7" s="188"/>
      <c r="G7" s="188"/>
      <c r="H7" s="188"/>
      <c r="I7" s="188"/>
      <c r="J7" s="188"/>
    </row>
    <row r="8" spans="1:10" ht="26">
      <c r="B8" s="203" t="s">
        <v>457</v>
      </c>
      <c r="C8" s="203" t="s">
        <v>458</v>
      </c>
      <c r="D8" s="203" t="s">
        <v>459</v>
      </c>
      <c r="E8" s="204" t="s">
        <v>460</v>
      </c>
      <c r="F8" s="205" t="s">
        <v>461</v>
      </c>
      <c r="G8" s="206" t="s">
        <v>462</v>
      </c>
      <c r="H8" s="207" t="s">
        <v>463</v>
      </c>
      <c r="I8" s="207" t="s">
        <v>464</v>
      </c>
      <c r="J8" s="206" t="s">
        <v>407</v>
      </c>
    </row>
    <row r="9" spans="1:10" ht="15.65" customHeight="1">
      <c r="B9" s="315" t="s">
        <v>465</v>
      </c>
      <c r="C9" s="315"/>
      <c r="D9" s="315"/>
      <c r="E9" s="315"/>
      <c r="F9" s="315"/>
      <c r="G9" s="315"/>
      <c r="H9" s="315"/>
      <c r="I9" s="315"/>
      <c r="J9" s="315"/>
    </row>
    <row r="10" spans="1:10">
      <c r="B10" s="190">
        <v>1</v>
      </c>
      <c r="C10" s="6" t="s">
        <v>581</v>
      </c>
      <c r="D10" s="385" t="s">
        <v>598</v>
      </c>
      <c r="E10" s="384" t="s">
        <v>597</v>
      </c>
      <c r="F10" s="6" t="s">
        <v>586</v>
      </c>
      <c r="G10" s="194">
        <v>44561</v>
      </c>
      <c r="H10" s="189"/>
      <c r="I10" s="189"/>
      <c r="J10" s="189"/>
    </row>
    <row r="11" spans="1:10" hidden="1">
      <c r="B11" s="190">
        <v>2</v>
      </c>
      <c r="C11" s="191"/>
      <c r="D11" s="192"/>
      <c r="E11" s="193"/>
      <c r="F11" s="208"/>
      <c r="G11" s="194"/>
      <c r="H11" s="189"/>
      <c r="I11" s="189"/>
      <c r="J11" s="189"/>
    </row>
    <row r="12" spans="1:10" hidden="1">
      <c r="B12" s="190">
        <v>3</v>
      </c>
      <c r="C12" s="191"/>
      <c r="D12" s="192"/>
      <c r="E12" s="193"/>
      <c r="F12" s="208"/>
      <c r="G12" s="194"/>
      <c r="H12" s="189"/>
      <c r="I12" s="189"/>
      <c r="J12" s="189"/>
    </row>
    <row r="13" spans="1:10" hidden="1">
      <c r="B13" s="190">
        <v>4</v>
      </c>
      <c r="C13" s="191"/>
      <c r="D13" s="192"/>
      <c r="E13" s="193"/>
      <c r="F13" s="208"/>
      <c r="G13" s="194"/>
      <c r="H13" s="189"/>
      <c r="I13" s="189"/>
      <c r="J13" s="189"/>
    </row>
    <row r="14" spans="1:10" ht="6.65" customHeight="1">
      <c r="B14" s="195"/>
      <c r="C14" s="195"/>
      <c r="D14" s="195"/>
      <c r="E14" s="195"/>
      <c r="F14" s="195"/>
      <c r="G14" s="195"/>
      <c r="H14" s="195"/>
      <c r="I14" s="195"/>
      <c r="J14" s="195"/>
    </row>
    <row r="15" spans="1:10" hidden="1">
      <c r="B15" s="211" t="s">
        <v>472</v>
      </c>
      <c r="C15" s="1"/>
      <c r="D15" s="195"/>
      <c r="E15" s="195"/>
      <c r="F15" s="195"/>
      <c r="G15" s="195"/>
      <c r="H15" s="195"/>
      <c r="I15" s="195"/>
      <c r="J15" s="195"/>
    </row>
    <row r="16" spans="1:10" hidden="1">
      <c r="B16" s="196" t="s">
        <v>466</v>
      </c>
      <c r="C16" s="1"/>
      <c r="D16" s="195"/>
      <c r="E16" s="195"/>
      <c r="F16" s="195"/>
      <c r="G16" s="195"/>
      <c r="H16" s="195"/>
      <c r="I16" s="195"/>
      <c r="J16" s="195"/>
    </row>
    <row r="17" spans="2:10" ht="18" hidden="1" customHeight="1">
      <c r="B17" s="203" t="s">
        <v>457</v>
      </c>
      <c r="C17" s="212" t="s">
        <v>467</v>
      </c>
      <c r="D17" s="213" t="s">
        <v>473</v>
      </c>
      <c r="E17" s="214" t="s">
        <v>460</v>
      </c>
      <c r="F17" s="215" t="s">
        <v>474</v>
      </c>
      <c r="G17" s="213" t="s">
        <v>475</v>
      </c>
      <c r="H17" s="381" t="s">
        <v>407</v>
      </c>
      <c r="I17" s="382"/>
      <c r="J17" s="383"/>
    </row>
    <row r="18" spans="2:10" hidden="1">
      <c r="B18" s="378">
        <v>1</v>
      </c>
      <c r="C18" s="375"/>
      <c r="D18" s="198" t="s">
        <v>468</v>
      </c>
      <c r="E18" s="216"/>
      <c r="F18" s="200"/>
      <c r="G18" s="199"/>
      <c r="H18" s="310"/>
      <c r="I18" s="311"/>
      <c r="J18" s="312"/>
    </row>
    <row r="19" spans="2:10" hidden="1">
      <c r="B19" s="380"/>
      <c r="C19" s="377"/>
      <c r="D19" s="198" t="s">
        <v>469</v>
      </c>
      <c r="E19" s="216"/>
      <c r="F19" s="200"/>
      <c r="G19" s="199"/>
      <c r="H19" s="310"/>
      <c r="I19" s="311"/>
      <c r="J19" s="312"/>
    </row>
    <row r="20" spans="2:10" hidden="1">
      <c r="B20" s="202">
        <v>2</v>
      </c>
      <c r="C20" s="197"/>
      <c r="D20" s="198" t="s">
        <v>468</v>
      </c>
      <c r="E20" s="216"/>
      <c r="F20" s="200"/>
      <c r="G20" s="199"/>
      <c r="H20" s="310"/>
      <c r="I20" s="311"/>
      <c r="J20" s="312"/>
    </row>
    <row r="21" spans="2:10" hidden="1">
      <c r="B21" s="378">
        <v>3</v>
      </c>
      <c r="C21" s="375"/>
      <c r="D21" s="198" t="s">
        <v>468</v>
      </c>
      <c r="E21" s="216"/>
      <c r="F21" s="200"/>
      <c r="G21" s="199"/>
      <c r="H21" s="310"/>
      <c r="I21" s="311"/>
      <c r="J21" s="312"/>
    </row>
    <row r="22" spans="2:10" hidden="1">
      <c r="B22" s="380"/>
      <c r="C22" s="377"/>
      <c r="D22" s="198" t="s">
        <v>468</v>
      </c>
      <c r="E22" s="216"/>
      <c r="F22" s="200"/>
      <c r="G22" s="199"/>
      <c r="H22" s="310"/>
      <c r="I22" s="311"/>
      <c r="J22" s="312"/>
    </row>
    <row r="23" spans="2:10" hidden="1">
      <c r="B23" s="378">
        <v>4</v>
      </c>
      <c r="C23" s="375"/>
      <c r="D23" s="198" t="s">
        <v>468</v>
      </c>
      <c r="E23" s="216"/>
      <c r="F23" s="200"/>
      <c r="G23" s="199"/>
      <c r="H23" s="310"/>
      <c r="I23" s="311"/>
      <c r="J23" s="312"/>
    </row>
    <row r="24" spans="2:10" hidden="1">
      <c r="B24" s="379"/>
      <c r="C24" s="376"/>
      <c r="D24" s="198" t="s">
        <v>469</v>
      </c>
      <c r="E24" s="216"/>
      <c r="F24" s="200"/>
      <c r="G24" s="199"/>
      <c r="H24" s="310"/>
      <c r="I24" s="311"/>
      <c r="J24" s="312"/>
    </row>
    <row r="25" spans="2:10" hidden="1">
      <c r="B25" s="380"/>
      <c r="C25" s="377"/>
      <c r="D25" s="198" t="s">
        <v>470</v>
      </c>
      <c r="E25" s="216"/>
      <c r="F25" s="200"/>
      <c r="G25" s="199"/>
      <c r="H25" s="310"/>
      <c r="I25" s="311"/>
      <c r="J25" s="312"/>
    </row>
    <row r="26" spans="2:10" hidden="1">
      <c r="B26" s="202">
        <v>5</v>
      </c>
      <c r="C26" s="197"/>
      <c r="D26" s="198" t="s">
        <v>468</v>
      </c>
      <c r="E26" s="216"/>
      <c r="F26" s="200"/>
      <c r="G26" s="199"/>
      <c r="H26" s="310"/>
      <c r="I26" s="311"/>
      <c r="J26" s="312"/>
    </row>
    <row r="27" spans="2:10" ht="8.5" customHeight="1">
      <c r="B27" s="195"/>
      <c r="C27" s="195"/>
      <c r="D27" s="195"/>
      <c r="E27" s="195"/>
      <c r="F27" s="201"/>
      <c r="G27" s="195"/>
      <c r="H27" s="195"/>
      <c r="I27" s="195"/>
      <c r="J27" s="195"/>
    </row>
    <row r="28" spans="2:10" ht="18" customHeight="1">
      <c r="B28" s="218" t="s">
        <v>471</v>
      </c>
      <c r="C28" s="1"/>
      <c r="D28" s="217"/>
      <c r="E28" s="217"/>
      <c r="F28" s="217"/>
      <c r="G28" s="217"/>
      <c r="H28" s="217"/>
      <c r="I28" s="217"/>
      <c r="J28" s="217"/>
    </row>
    <row r="29" spans="2:10" ht="39" customHeight="1">
      <c r="B29" s="313" t="s">
        <v>476</v>
      </c>
      <c r="C29" s="313"/>
      <c r="D29" s="313"/>
      <c r="E29" s="313"/>
      <c r="F29" s="313"/>
      <c r="G29" s="313"/>
      <c r="H29" s="313"/>
      <c r="I29" s="313"/>
      <c r="J29" s="313"/>
    </row>
    <row r="30" spans="2:10" ht="6.65" customHeight="1"/>
    <row r="31" spans="2:10" ht="18" customHeight="1">
      <c r="B31" s="179" t="s">
        <v>446</v>
      </c>
      <c r="C31" s="178"/>
    </row>
    <row r="32" spans="2:10" ht="18" customHeight="1">
      <c r="B32" s="314" t="s">
        <v>593</v>
      </c>
      <c r="C32" s="314"/>
    </row>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row r="128" ht="18" customHeight="1"/>
    <row r="129" ht="18" customHeight="1"/>
    <row r="130" ht="18" customHeight="1"/>
    <row r="131" ht="18" customHeight="1"/>
    <row r="132" ht="18" customHeight="1"/>
    <row r="133" ht="18" customHeight="1"/>
    <row r="134" ht="18" customHeight="1"/>
    <row r="135" ht="18" customHeight="1"/>
    <row r="136" ht="18" customHeight="1"/>
    <row r="137" ht="18" customHeight="1"/>
    <row r="138" ht="18" customHeight="1"/>
    <row r="139" ht="18" customHeight="1"/>
    <row r="140" ht="18" customHeight="1"/>
    <row r="141" ht="18" customHeight="1"/>
    <row r="142" ht="18" customHeight="1"/>
    <row r="143" ht="18" customHeight="1"/>
    <row r="144" ht="18" customHeight="1"/>
    <row r="145" ht="18" customHeight="1"/>
    <row r="146" ht="18" customHeight="1"/>
    <row r="147" ht="18" customHeight="1"/>
    <row r="148" ht="18" customHeight="1"/>
    <row r="149" ht="18" customHeight="1"/>
    <row r="150" ht="18" customHeight="1"/>
    <row r="151" ht="18" customHeight="1"/>
    <row r="152" ht="18" customHeight="1"/>
    <row r="153" ht="18" customHeight="1"/>
    <row r="154" ht="18" customHeight="1"/>
    <row r="155" ht="18" customHeight="1"/>
  </sheetData>
  <sheetProtection formatCells="0" formatColumns="0" formatRows="0"/>
  <mergeCells count="20">
    <mergeCell ref="B29:J29"/>
    <mergeCell ref="B32:C32"/>
    <mergeCell ref="B9:J9"/>
    <mergeCell ref="B5:J5"/>
    <mergeCell ref="B18:B19"/>
    <mergeCell ref="B21:B22"/>
    <mergeCell ref="B23:B25"/>
    <mergeCell ref="H17:J17"/>
    <mergeCell ref="H18:J18"/>
    <mergeCell ref="H19:J19"/>
    <mergeCell ref="H20:J20"/>
    <mergeCell ref="H21:J21"/>
    <mergeCell ref="H22:J22"/>
    <mergeCell ref="H23:J23"/>
    <mergeCell ref="H24:J24"/>
    <mergeCell ref="H25:J25"/>
    <mergeCell ref="C18:C19"/>
    <mergeCell ref="C21:C22"/>
    <mergeCell ref="C23:C25"/>
    <mergeCell ref="H26:J26"/>
  </mergeCells>
  <phoneticPr fontId="1" type="noConversion"/>
  <dataValidations count="1">
    <dataValidation type="list" allowBlank="1" showInputMessage="1" showErrorMessage="1" sqref="B32" xr:uid="{F87F3EE4-C2CC-4DD8-99FD-0088F243CA35}">
      <formula1>"未执行,已执行"</formula1>
    </dataValidation>
  </dataValidations>
  <hyperlinks>
    <hyperlink ref="A1" location="index!A1" tooltip="单击此处将定位到表[index]" display="&lt;&lt;" xr:uid="{00000000-0004-0000-0200-000000000000}"/>
  </hyperlinks>
  <printOptions horizontalCentered="1" verticalCentered="1"/>
  <pageMargins left="0" right="0" top="0.39370078740157483" bottom="0" header="0" footer="0"/>
  <pageSetup paperSize="9" fitToHeight="0" orientation="landscape" blackAndWhite="1"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pageSetUpPr fitToPage="1"/>
  </sheetPr>
  <dimension ref="A1:K67"/>
  <sheetViews>
    <sheetView topLeftCell="A4" workbookViewId="0">
      <selection activeCell="E19" sqref="E19:I19"/>
    </sheetView>
  </sheetViews>
  <sheetFormatPr defaultColWidth="9" defaultRowHeight="13"/>
  <cols>
    <col min="1" max="1" width="2.08203125" style="30" customWidth="1"/>
    <col min="2" max="2" width="8" style="30" customWidth="1"/>
    <col min="3" max="3" width="11.5" style="30" customWidth="1"/>
    <col min="4" max="4" width="9.83203125" style="30" customWidth="1"/>
    <col min="5" max="10" width="11.75" style="30" bestFit="1" customWidth="1"/>
    <col min="11" max="11" width="24.58203125" style="30" customWidth="1"/>
    <col min="12" max="16384" width="9" style="30"/>
  </cols>
  <sheetData>
    <row r="1" spans="1:11" ht="30" customHeight="1">
      <c r="A1" s="20" t="s">
        <v>107</v>
      </c>
      <c r="B1" s="280" t="s">
        <v>564</v>
      </c>
      <c r="K1" s="101" t="str">
        <f>index!D9</f>
        <v>&lt;5017-03&gt;</v>
      </c>
    </row>
    <row r="2" spans="1:11" ht="18" customHeight="1">
      <c r="B2" s="136" t="s">
        <v>579</v>
      </c>
      <c r="C2" s="137"/>
      <c r="D2" s="137"/>
      <c r="E2" s="137"/>
      <c r="F2" s="137"/>
      <c r="G2" s="137"/>
      <c r="H2" s="137"/>
      <c r="I2" s="137"/>
      <c r="J2" s="137"/>
      <c r="K2" s="137"/>
    </row>
    <row r="3" spans="1:11" ht="6" customHeight="1"/>
    <row r="4" spans="1:11" ht="15" customHeight="1">
      <c r="B4" s="234" t="s">
        <v>477</v>
      </c>
      <c r="C4" s="219"/>
      <c r="D4" s="219"/>
      <c r="E4" s="219"/>
      <c r="F4" s="219"/>
      <c r="G4" s="219"/>
      <c r="H4" s="219"/>
      <c r="I4" s="219"/>
      <c r="J4" s="219"/>
      <c r="K4" s="219"/>
    </row>
    <row r="5" spans="1:11" ht="15" customHeight="1">
      <c r="B5" s="238" t="s">
        <v>478</v>
      </c>
      <c r="C5" s="238" t="s">
        <v>479</v>
      </c>
      <c r="D5" s="238" t="s">
        <v>480</v>
      </c>
      <c r="E5" s="238" t="s">
        <v>481</v>
      </c>
      <c r="F5" s="238" t="s">
        <v>482</v>
      </c>
      <c r="G5" s="238" t="s">
        <v>483</v>
      </c>
      <c r="H5" s="238" t="s">
        <v>484</v>
      </c>
      <c r="I5" s="238" t="s">
        <v>485</v>
      </c>
      <c r="J5" s="238" t="s">
        <v>483</v>
      </c>
      <c r="K5" s="239" t="s">
        <v>511</v>
      </c>
    </row>
    <row r="6" spans="1:11" ht="15" customHeight="1">
      <c r="B6" s="220" t="s">
        <v>486</v>
      </c>
      <c r="C6" s="386" t="s">
        <v>599</v>
      </c>
      <c r="D6" s="316" t="s">
        <v>600</v>
      </c>
      <c r="E6" s="225"/>
      <c r="F6" s="235"/>
      <c r="G6" s="225"/>
      <c r="H6" s="225"/>
      <c r="I6" s="225"/>
      <c r="J6" s="225"/>
      <c r="K6" s="221"/>
    </row>
    <row r="7" spans="1:11" ht="15" customHeight="1">
      <c r="B7" s="241" t="s">
        <v>487</v>
      </c>
      <c r="C7" s="317"/>
      <c r="D7" s="317"/>
      <c r="E7" s="225"/>
      <c r="F7" s="235"/>
      <c r="G7" s="236">
        <f t="shared" ref="G7:G18" si="0">E7-F7</f>
        <v>0</v>
      </c>
      <c r="H7" s="235"/>
      <c r="I7" s="235"/>
      <c r="J7" s="236">
        <f t="shared" ref="J7:J18" si="1">H7-I7</f>
        <v>0</v>
      </c>
      <c r="K7" s="221"/>
    </row>
    <row r="8" spans="1:11" ht="15" customHeight="1">
      <c r="B8" s="241" t="s">
        <v>488</v>
      </c>
      <c r="C8" s="317"/>
      <c r="D8" s="317"/>
      <c r="E8" s="225"/>
      <c r="F8" s="235"/>
      <c r="G8" s="236">
        <f t="shared" si="0"/>
        <v>0</v>
      </c>
      <c r="H8" s="235"/>
      <c r="I8" s="235"/>
      <c r="J8" s="236">
        <f t="shared" si="1"/>
        <v>0</v>
      </c>
      <c r="K8" s="222"/>
    </row>
    <row r="9" spans="1:11" ht="15" customHeight="1">
      <c r="B9" s="241" t="s">
        <v>489</v>
      </c>
      <c r="C9" s="317"/>
      <c r="D9" s="317"/>
      <c r="E9" s="225"/>
      <c r="F9" s="235"/>
      <c r="G9" s="236">
        <f t="shared" si="0"/>
        <v>0</v>
      </c>
      <c r="H9" s="235"/>
      <c r="I9" s="235"/>
      <c r="J9" s="236">
        <f t="shared" si="1"/>
        <v>0</v>
      </c>
      <c r="K9" s="223"/>
    </row>
    <row r="10" spans="1:11" ht="15" customHeight="1">
      <c r="B10" s="241" t="s">
        <v>490</v>
      </c>
      <c r="C10" s="317"/>
      <c r="D10" s="317"/>
      <c r="E10" s="225"/>
      <c r="F10" s="235"/>
      <c r="G10" s="236">
        <f t="shared" si="0"/>
        <v>0</v>
      </c>
      <c r="H10" s="235"/>
      <c r="I10" s="235"/>
      <c r="J10" s="236">
        <f t="shared" si="1"/>
        <v>0</v>
      </c>
      <c r="K10" s="223"/>
    </row>
    <row r="11" spans="1:11" ht="15" customHeight="1">
      <c r="B11" s="241" t="s">
        <v>491</v>
      </c>
      <c r="C11" s="317"/>
      <c r="D11" s="317"/>
      <c r="E11" s="225"/>
      <c r="F11" s="235"/>
      <c r="G11" s="236">
        <f t="shared" si="0"/>
        <v>0</v>
      </c>
      <c r="H11" s="235"/>
      <c r="I11" s="235"/>
      <c r="J11" s="236">
        <f t="shared" si="1"/>
        <v>0</v>
      </c>
      <c r="K11" s="223"/>
    </row>
    <row r="12" spans="1:11" ht="15" customHeight="1">
      <c r="B12" s="241" t="s">
        <v>492</v>
      </c>
      <c r="C12" s="317"/>
      <c r="D12" s="317"/>
      <c r="E12" s="225"/>
      <c r="F12" s="235"/>
      <c r="G12" s="236">
        <f t="shared" si="0"/>
        <v>0</v>
      </c>
      <c r="H12" s="235"/>
      <c r="I12" s="235"/>
      <c r="J12" s="236">
        <f t="shared" si="1"/>
        <v>0</v>
      </c>
      <c r="K12" s="223"/>
    </row>
    <row r="13" spans="1:11" ht="15" customHeight="1">
      <c r="B13" s="241" t="s">
        <v>493</v>
      </c>
      <c r="C13" s="317"/>
      <c r="D13" s="317"/>
      <c r="E13" s="225">
        <v>3300000</v>
      </c>
      <c r="F13" s="225">
        <v>3300000</v>
      </c>
      <c r="G13" s="236">
        <f t="shared" si="0"/>
        <v>0</v>
      </c>
      <c r="H13" s="235">
        <v>787432.75</v>
      </c>
      <c r="I13" s="235">
        <v>787432.75000000012</v>
      </c>
      <c r="J13" s="236">
        <f t="shared" si="1"/>
        <v>0</v>
      </c>
      <c r="K13" s="223"/>
    </row>
    <row r="14" spans="1:11" ht="15" customHeight="1">
      <c r="B14" s="241" t="s">
        <v>494</v>
      </c>
      <c r="C14" s="317"/>
      <c r="D14" s="317"/>
      <c r="E14" s="225">
        <v>840008.01</v>
      </c>
      <c r="F14" s="225">
        <v>840008.01</v>
      </c>
      <c r="G14" s="236">
        <f t="shared" si="0"/>
        <v>0</v>
      </c>
      <c r="H14" s="235">
        <v>262761.69</v>
      </c>
      <c r="I14" s="235">
        <v>262761.69000000006</v>
      </c>
      <c r="J14" s="236">
        <f t="shared" si="1"/>
        <v>0</v>
      </c>
      <c r="K14" s="223"/>
    </row>
    <row r="15" spans="1:11" ht="15" customHeight="1">
      <c r="B15" s="241" t="s">
        <v>495</v>
      </c>
      <c r="C15" s="317"/>
      <c r="D15" s="317"/>
      <c r="E15" s="225">
        <v>12570.82</v>
      </c>
      <c r="F15" s="225">
        <v>12570.82</v>
      </c>
      <c r="G15" s="236">
        <f t="shared" si="0"/>
        <v>0</v>
      </c>
      <c r="H15" s="235">
        <v>888780.19</v>
      </c>
      <c r="I15" s="235">
        <v>888780.19000000018</v>
      </c>
      <c r="J15" s="236">
        <f t="shared" si="1"/>
        <v>0</v>
      </c>
      <c r="K15" s="223"/>
    </row>
    <row r="16" spans="1:11" ht="15" customHeight="1">
      <c r="B16" s="241" t="s">
        <v>496</v>
      </c>
      <c r="C16" s="317"/>
      <c r="D16" s="317"/>
      <c r="E16" s="225">
        <v>4328.5</v>
      </c>
      <c r="F16" s="225">
        <v>4328.5</v>
      </c>
      <c r="G16" s="236">
        <f t="shared" si="0"/>
        <v>0</v>
      </c>
      <c r="H16" s="235">
        <v>1083035.6399999999</v>
      </c>
      <c r="I16" s="235">
        <v>1083035.6399999999</v>
      </c>
      <c r="J16" s="236">
        <f t="shared" si="1"/>
        <v>0</v>
      </c>
      <c r="K16" s="224"/>
    </row>
    <row r="17" spans="2:11" ht="15" customHeight="1">
      <c r="B17" s="241" t="s">
        <v>497</v>
      </c>
      <c r="C17" s="317"/>
      <c r="D17" s="317"/>
      <c r="E17" s="225">
        <v>2739.55</v>
      </c>
      <c r="F17" s="235">
        <v>2739.55</v>
      </c>
      <c r="G17" s="236">
        <f t="shared" si="0"/>
        <v>0</v>
      </c>
      <c r="H17" s="235">
        <v>489455.66</v>
      </c>
      <c r="I17" s="235">
        <v>489455.66</v>
      </c>
      <c r="J17" s="236">
        <f t="shared" si="1"/>
        <v>0</v>
      </c>
      <c r="K17" s="223"/>
    </row>
    <row r="18" spans="2:11" ht="15" customHeight="1">
      <c r="B18" s="241" t="s">
        <v>498</v>
      </c>
      <c r="C18" s="317"/>
      <c r="D18" s="317"/>
      <c r="E18" s="225">
        <v>17317235.510000002</v>
      </c>
      <c r="F18" s="235">
        <v>17317235.510000002</v>
      </c>
      <c r="G18" s="236">
        <f t="shared" si="0"/>
        <v>0</v>
      </c>
      <c r="H18" s="235">
        <v>15946731.449999999</v>
      </c>
      <c r="I18" s="235">
        <v>15946731.449999999</v>
      </c>
      <c r="J18" s="236">
        <f t="shared" si="1"/>
        <v>0</v>
      </c>
      <c r="K18" s="223"/>
    </row>
    <row r="19" spans="2:11" ht="15" customHeight="1">
      <c r="B19" s="220" t="s">
        <v>499</v>
      </c>
      <c r="C19" s="317"/>
      <c r="D19" s="317"/>
      <c r="E19" s="225"/>
      <c r="F19" s="225"/>
      <c r="G19" s="225"/>
      <c r="H19" s="225"/>
      <c r="I19" s="225"/>
      <c r="J19" s="225"/>
      <c r="K19" s="223"/>
    </row>
    <row r="20" spans="2:11" ht="15" customHeight="1">
      <c r="B20" s="220" t="s">
        <v>500</v>
      </c>
      <c r="C20" s="318"/>
      <c r="D20" s="318"/>
      <c r="E20" s="225"/>
      <c r="F20" s="225"/>
      <c r="G20" s="237">
        <f>SUM(G6:G19)</f>
        <v>0</v>
      </c>
      <c r="H20" s="225"/>
      <c r="I20" s="225"/>
      <c r="J20" s="237">
        <f>SUM(J7:J19)</f>
        <v>0</v>
      </c>
      <c r="K20" s="223"/>
    </row>
    <row r="21" spans="2:11" ht="5.5" customHeight="1">
      <c r="B21" s="219"/>
      <c r="C21" s="219"/>
      <c r="D21" s="219"/>
      <c r="E21" s="219"/>
      <c r="F21" s="219"/>
      <c r="G21" s="219"/>
      <c r="H21" s="219"/>
      <c r="I21" s="219"/>
      <c r="J21" s="219"/>
      <c r="K21" s="219"/>
    </row>
    <row r="22" spans="2:11" ht="15" hidden="1" customHeight="1">
      <c r="B22" s="240" t="s">
        <v>478</v>
      </c>
      <c r="C22" s="240" t="s">
        <v>479</v>
      </c>
      <c r="D22" s="240" t="s">
        <v>480</v>
      </c>
      <c r="E22" s="240" t="s">
        <v>481</v>
      </c>
      <c r="F22" s="240" t="s">
        <v>482</v>
      </c>
      <c r="G22" s="240" t="s">
        <v>483</v>
      </c>
      <c r="H22" s="240" t="s">
        <v>484</v>
      </c>
      <c r="I22" s="240" t="s">
        <v>485</v>
      </c>
      <c r="J22" s="240" t="s">
        <v>483</v>
      </c>
      <c r="K22" s="239" t="s">
        <v>511</v>
      </c>
    </row>
    <row r="23" spans="2:11" ht="15" hidden="1" customHeight="1">
      <c r="B23" s="220" t="s">
        <v>486</v>
      </c>
      <c r="C23" s="319"/>
      <c r="D23" s="316"/>
      <c r="E23" s="226"/>
      <c r="F23" s="227"/>
      <c r="G23" s="228"/>
      <c r="H23" s="229"/>
      <c r="I23" s="229"/>
      <c r="J23" s="229"/>
      <c r="K23" s="229"/>
    </row>
    <row r="24" spans="2:11" hidden="1">
      <c r="B24" s="241" t="s">
        <v>487</v>
      </c>
      <c r="C24" s="317"/>
      <c r="D24" s="317"/>
      <c r="E24" s="226"/>
      <c r="F24" s="226"/>
      <c r="G24" s="227">
        <f t="shared" ref="G24:G35" si="2">E24-F24</f>
        <v>0</v>
      </c>
      <c r="H24" s="227"/>
      <c r="I24" s="227"/>
      <c r="J24" s="227">
        <f t="shared" ref="J24:J35" si="3">H24-I24</f>
        <v>0</v>
      </c>
      <c r="K24" s="229"/>
    </row>
    <row r="25" spans="2:11" hidden="1">
      <c r="B25" s="241" t="s">
        <v>488</v>
      </c>
      <c r="C25" s="317"/>
      <c r="D25" s="317"/>
      <c r="E25" s="226"/>
      <c r="F25" s="226"/>
      <c r="G25" s="227">
        <f t="shared" si="2"/>
        <v>0</v>
      </c>
      <c r="H25" s="227"/>
      <c r="I25" s="227"/>
      <c r="J25" s="227">
        <f t="shared" si="3"/>
        <v>0</v>
      </c>
      <c r="K25" s="229"/>
    </row>
    <row r="26" spans="2:11" hidden="1">
      <c r="B26" s="241" t="s">
        <v>489</v>
      </c>
      <c r="C26" s="317"/>
      <c r="D26" s="317"/>
      <c r="E26" s="226"/>
      <c r="F26" s="226"/>
      <c r="G26" s="227">
        <f t="shared" si="2"/>
        <v>0</v>
      </c>
      <c r="H26" s="227"/>
      <c r="I26" s="227"/>
      <c r="J26" s="227">
        <f t="shared" si="3"/>
        <v>0</v>
      </c>
      <c r="K26" s="230"/>
    </row>
    <row r="27" spans="2:11" hidden="1">
      <c r="B27" s="241" t="s">
        <v>490</v>
      </c>
      <c r="C27" s="317"/>
      <c r="D27" s="317"/>
      <c r="E27" s="226"/>
      <c r="F27" s="226"/>
      <c r="G27" s="227">
        <f t="shared" si="2"/>
        <v>0</v>
      </c>
      <c r="H27" s="227"/>
      <c r="I27" s="227"/>
      <c r="J27" s="227">
        <f t="shared" si="3"/>
        <v>0</v>
      </c>
      <c r="K27" s="230"/>
    </row>
    <row r="28" spans="2:11" hidden="1">
      <c r="B28" s="241" t="s">
        <v>491</v>
      </c>
      <c r="C28" s="317"/>
      <c r="D28" s="317"/>
      <c r="E28" s="226"/>
      <c r="F28" s="226"/>
      <c r="G28" s="227">
        <f t="shared" si="2"/>
        <v>0</v>
      </c>
      <c r="H28" s="227"/>
      <c r="I28" s="227"/>
      <c r="J28" s="227">
        <f t="shared" si="3"/>
        <v>0</v>
      </c>
      <c r="K28" s="230"/>
    </row>
    <row r="29" spans="2:11" hidden="1">
      <c r="B29" s="241" t="s">
        <v>492</v>
      </c>
      <c r="C29" s="317"/>
      <c r="D29" s="317"/>
      <c r="E29" s="226"/>
      <c r="F29" s="226"/>
      <c r="G29" s="227">
        <f t="shared" si="2"/>
        <v>0</v>
      </c>
      <c r="H29" s="227"/>
      <c r="I29" s="227"/>
      <c r="J29" s="227">
        <f t="shared" si="3"/>
        <v>0</v>
      </c>
      <c r="K29" s="230"/>
    </row>
    <row r="30" spans="2:11" hidden="1">
      <c r="B30" s="241" t="s">
        <v>493</v>
      </c>
      <c r="C30" s="317"/>
      <c r="D30" s="317"/>
      <c r="E30" s="226"/>
      <c r="F30" s="226"/>
      <c r="G30" s="227">
        <f t="shared" si="2"/>
        <v>0</v>
      </c>
      <c r="H30" s="227"/>
      <c r="I30" s="227"/>
      <c r="J30" s="227">
        <f t="shared" si="3"/>
        <v>0</v>
      </c>
      <c r="K30" s="230"/>
    </row>
    <row r="31" spans="2:11" hidden="1">
      <c r="B31" s="241" t="s">
        <v>494</v>
      </c>
      <c r="C31" s="317"/>
      <c r="D31" s="317"/>
      <c r="E31" s="226"/>
      <c r="F31" s="226"/>
      <c r="G31" s="227">
        <f t="shared" si="2"/>
        <v>0</v>
      </c>
      <c r="H31" s="227"/>
      <c r="I31" s="227"/>
      <c r="J31" s="227">
        <f t="shared" si="3"/>
        <v>0</v>
      </c>
      <c r="K31" s="230"/>
    </row>
    <row r="32" spans="2:11" hidden="1">
      <c r="B32" s="241" t="s">
        <v>495</v>
      </c>
      <c r="C32" s="317"/>
      <c r="D32" s="317"/>
      <c r="E32" s="226"/>
      <c r="F32" s="226"/>
      <c r="G32" s="227">
        <f t="shared" si="2"/>
        <v>0</v>
      </c>
      <c r="H32" s="227"/>
      <c r="I32" s="227"/>
      <c r="J32" s="227">
        <f t="shared" si="3"/>
        <v>0</v>
      </c>
      <c r="K32" s="230"/>
    </row>
    <row r="33" spans="2:11" hidden="1">
      <c r="B33" s="241" t="s">
        <v>496</v>
      </c>
      <c r="C33" s="317"/>
      <c r="D33" s="317"/>
      <c r="E33" s="226"/>
      <c r="F33" s="226"/>
      <c r="G33" s="227">
        <f t="shared" si="2"/>
        <v>0</v>
      </c>
      <c r="H33" s="227"/>
      <c r="I33" s="227"/>
      <c r="J33" s="227">
        <f t="shared" si="3"/>
        <v>0</v>
      </c>
      <c r="K33" s="230"/>
    </row>
    <row r="34" spans="2:11" hidden="1">
      <c r="B34" s="241" t="s">
        <v>497</v>
      </c>
      <c r="C34" s="317"/>
      <c r="D34" s="317"/>
      <c r="E34" s="226"/>
      <c r="F34" s="226"/>
      <c r="G34" s="227">
        <f t="shared" si="2"/>
        <v>0</v>
      </c>
      <c r="H34" s="227"/>
      <c r="I34" s="227"/>
      <c r="J34" s="227">
        <f t="shared" si="3"/>
        <v>0</v>
      </c>
      <c r="K34" s="230"/>
    </row>
    <row r="35" spans="2:11" hidden="1">
      <c r="B35" s="241" t="s">
        <v>498</v>
      </c>
      <c r="C35" s="317"/>
      <c r="D35" s="317"/>
      <c r="E35" s="226"/>
      <c r="F35" s="226"/>
      <c r="G35" s="227">
        <f t="shared" si="2"/>
        <v>0</v>
      </c>
      <c r="H35" s="227"/>
      <c r="I35" s="227"/>
      <c r="J35" s="227">
        <f t="shared" si="3"/>
        <v>0</v>
      </c>
      <c r="K35" s="230"/>
    </row>
    <row r="36" spans="2:11" hidden="1">
      <c r="B36" s="220" t="s">
        <v>499</v>
      </c>
      <c r="C36" s="317"/>
      <c r="D36" s="317"/>
      <c r="E36" s="226"/>
      <c r="F36" s="227"/>
      <c r="G36" s="231"/>
      <c r="H36" s="229"/>
      <c r="I36" s="229"/>
      <c r="J36" s="229"/>
      <c r="K36" s="230"/>
    </row>
    <row r="37" spans="2:11" hidden="1">
      <c r="B37" s="220" t="s">
        <v>500</v>
      </c>
      <c r="C37" s="318"/>
      <c r="D37" s="318"/>
      <c r="E37" s="229"/>
      <c r="F37" s="229"/>
      <c r="G37" s="231">
        <f>SUM(G24:G36)</f>
        <v>0</v>
      </c>
      <c r="H37" s="231"/>
      <c r="I37" s="231"/>
      <c r="J37" s="231">
        <f>SUM(J24:J36)</f>
        <v>0</v>
      </c>
      <c r="K37" s="230"/>
    </row>
    <row r="38" spans="2:11" ht="5.5" hidden="1" customHeight="1">
      <c r="B38" s="219"/>
      <c r="C38" s="219"/>
      <c r="D38" s="219"/>
      <c r="E38" s="219"/>
      <c r="F38" s="219"/>
      <c r="G38" s="219"/>
      <c r="H38" s="219"/>
      <c r="I38" s="219"/>
      <c r="J38" s="219"/>
      <c r="K38" s="219"/>
    </row>
    <row r="39" spans="2:11" ht="13.75" hidden="1" customHeight="1">
      <c r="B39" s="238" t="s">
        <v>478</v>
      </c>
      <c r="C39" s="238" t="s">
        <v>479</v>
      </c>
      <c r="D39" s="238" t="s">
        <v>480</v>
      </c>
      <c r="E39" s="238" t="s">
        <v>481</v>
      </c>
      <c r="F39" s="238" t="s">
        <v>482</v>
      </c>
      <c r="G39" s="238" t="s">
        <v>483</v>
      </c>
      <c r="H39" s="238" t="s">
        <v>484</v>
      </c>
      <c r="I39" s="238" t="s">
        <v>485</v>
      </c>
      <c r="J39" s="238" t="s">
        <v>483</v>
      </c>
      <c r="K39" s="239" t="s">
        <v>511</v>
      </c>
    </row>
    <row r="40" spans="2:11" hidden="1">
      <c r="B40" s="220" t="s">
        <v>486</v>
      </c>
      <c r="C40" s="319"/>
      <c r="D40" s="316"/>
      <c r="E40" s="226"/>
      <c r="F40" s="227"/>
      <c r="G40" s="228"/>
      <c r="H40" s="229"/>
      <c r="I40" s="229"/>
      <c r="J40" s="229"/>
      <c r="K40" s="229"/>
    </row>
    <row r="41" spans="2:11" ht="13.5" hidden="1">
      <c r="B41" s="241" t="s">
        <v>487</v>
      </c>
      <c r="C41" s="317"/>
      <c r="D41" s="317"/>
      <c r="E41" s="226"/>
      <c r="F41" s="227"/>
      <c r="G41" s="227">
        <f t="shared" ref="G41:G52" si="4">E41-F41</f>
        <v>0</v>
      </c>
      <c r="H41" s="227"/>
      <c r="I41" s="227"/>
      <c r="J41" s="227">
        <f t="shared" ref="J41:J52" si="5">H41-I41</f>
        <v>0</v>
      </c>
      <c r="K41" s="232"/>
    </row>
    <row r="42" spans="2:11" hidden="1">
      <c r="B42" s="241" t="s">
        <v>488</v>
      </c>
      <c r="C42" s="317"/>
      <c r="D42" s="317"/>
      <c r="E42" s="226"/>
      <c r="F42" s="227"/>
      <c r="G42" s="227">
        <f t="shared" si="4"/>
        <v>0</v>
      </c>
      <c r="H42" s="227"/>
      <c r="I42" s="227"/>
      <c r="J42" s="227">
        <f t="shared" si="5"/>
        <v>0</v>
      </c>
      <c r="K42" s="229"/>
    </row>
    <row r="43" spans="2:11" hidden="1">
      <c r="B43" s="241" t="s">
        <v>489</v>
      </c>
      <c r="C43" s="317"/>
      <c r="D43" s="317"/>
      <c r="E43" s="226"/>
      <c r="F43" s="227"/>
      <c r="G43" s="227">
        <f t="shared" si="4"/>
        <v>0</v>
      </c>
      <c r="H43" s="227"/>
      <c r="I43" s="227"/>
      <c r="J43" s="227">
        <f t="shared" si="5"/>
        <v>0</v>
      </c>
      <c r="K43" s="230"/>
    </row>
    <row r="44" spans="2:11" hidden="1">
      <c r="B44" s="241" t="s">
        <v>490</v>
      </c>
      <c r="C44" s="317"/>
      <c r="D44" s="317"/>
      <c r="E44" s="226"/>
      <c r="F44" s="227"/>
      <c r="G44" s="227">
        <f t="shared" si="4"/>
        <v>0</v>
      </c>
      <c r="H44" s="227"/>
      <c r="I44" s="227"/>
      <c r="J44" s="227">
        <f t="shared" si="5"/>
        <v>0</v>
      </c>
      <c r="K44" s="230"/>
    </row>
    <row r="45" spans="2:11" hidden="1">
      <c r="B45" s="241" t="s">
        <v>491</v>
      </c>
      <c r="C45" s="317"/>
      <c r="D45" s="317"/>
      <c r="E45" s="226"/>
      <c r="F45" s="226"/>
      <c r="G45" s="227">
        <f t="shared" si="4"/>
        <v>0</v>
      </c>
      <c r="H45" s="227"/>
      <c r="I45" s="227"/>
      <c r="J45" s="227">
        <f t="shared" si="5"/>
        <v>0</v>
      </c>
      <c r="K45" s="230"/>
    </row>
    <row r="46" spans="2:11" ht="13.5" hidden="1">
      <c r="B46" s="241" t="s">
        <v>492</v>
      </c>
      <c r="C46" s="317"/>
      <c r="D46" s="317"/>
      <c r="E46" s="226"/>
      <c r="F46" s="233"/>
      <c r="G46" s="227">
        <f t="shared" si="4"/>
        <v>0</v>
      </c>
      <c r="H46" s="227"/>
      <c r="I46" s="233"/>
      <c r="J46" s="227">
        <f t="shared" si="5"/>
        <v>0</v>
      </c>
      <c r="K46" s="232"/>
    </row>
    <row r="47" spans="2:11" hidden="1">
      <c r="B47" s="241" t="s">
        <v>493</v>
      </c>
      <c r="C47" s="317"/>
      <c r="D47" s="317"/>
      <c r="E47" s="226"/>
      <c r="F47" s="227"/>
      <c r="G47" s="227">
        <f t="shared" si="4"/>
        <v>0</v>
      </c>
      <c r="H47" s="227"/>
      <c r="I47" s="227"/>
      <c r="J47" s="227">
        <f t="shared" si="5"/>
        <v>0</v>
      </c>
      <c r="K47" s="230"/>
    </row>
    <row r="48" spans="2:11" hidden="1">
      <c r="B48" s="241" t="s">
        <v>494</v>
      </c>
      <c r="C48" s="317"/>
      <c r="D48" s="317"/>
      <c r="E48" s="226"/>
      <c r="F48" s="227"/>
      <c r="G48" s="227">
        <f t="shared" si="4"/>
        <v>0</v>
      </c>
      <c r="H48" s="227"/>
      <c r="I48" s="227"/>
      <c r="J48" s="227">
        <f t="shared" si="5"/>
        <v>0</v>
      </c>
      <c r="K48" s="230"/>
    </row>
    <row r="49" spans="2:11" hidden="1">
      <c r="B49" s="241" t="s">
        <v>495</v>
      </c>
      <c r="C49" s="317"/>
      <c r="D49" s="317"/>
      <c r="E49" s="226"/>
      <c r="F49" s="226"/>
      <c r="G49" s="227">
        <f t="shared" si="4"/>
        <v>0</v>
      </c>
      <c r="H49" s="226"/>
      <c r="I49" s="226"/>
      <c r="J49" s="227">
        <f t="shared" si="5"/>
        <v>0</v>
      </c>
      <c r="K49" s="230"/>
    </row>
    <row r="50" spans="2:11" hidden="1">
      <c r="B50" s="241" t="s">
        <v>496</v>
      </c>
      <c r="C50" s="317"/>
      <c r="D50" s="317"/>
      <c r="E50" s="226"/>
      <c r="F50" s="227"/>
      <c r="G50" s="227">
        <f t="shared" si="4"/>
        <v>0</v>
      </c>
      <c r="H50" s="227"/>
      <c r="I50" s="227"/>
      <c r="J50" s="227">
        <f t="shared" si="5"/>
        <v>0</v>
      </c>
      <c r="K50" s="230"/>
    </row>
    <row r="51" spans="2:11" hidden="1">
      <c r="B51" s="241" t="s">
        <v>497</v>
      </c>
      <c r="C51" s="317"/>
      <c r="D51" s="317"/>
      <c r="E51" s="226"/>
      <c r="F51" s="227"/>
      <c r="G51" s="227">
        <f t="shared" si="4"/>
        <v>0</v>
      </c>
      <c r="H51" s="227"/>
      <c r="I51" s="227"/>
      <c r="J51" s="227">
        <f t="shared" si="5"/>
        <v>0</v>
      </c>
      <c r="K51" s="230"/>
    </row>
    <row r="52" spans="2:11" hidden="1">
      <c r="B52" s="241" t="s">
        <v>498</v>
      </c>
      <c r="C52" s="317"/>
      <c r="D52" s="317"/>
      <c r="E52" s="226"/>
      <c r="F52" s="227"/>
      <c r="G52" s="227">
        <f t="shared" si="4"/>
        <v>0</v>
      </c>
      <c r="H52" s="227"/>
      <c r="I52" s="227"/>
      <c r="J52" s="227">
        <f t="shared" si="5"/>
        <v>0</v>
      </c>
      <c r="K52" s="230"/>
    </row>
    <row r="53" spans="2:11" hidden="1">
      <c r="B53" s="220" t="s">
        <v>499</v>
      </c>
      <c r="C53" s="317"/>
      <c r="D53" s="317"/>
      <c r="E53" s="226"/>
      <c r="F53" s="227"/>
      <c r="G53" s="231"/>
      <c r="H53" s="229"/>
      <c r="I53" s="229"/>
      <c r="J53" s="229"/>
      <c r="K53" s="230"/>
    </row>
    <row r="54" spans="2:11" hidden="1">
      <c r="B54" s="220" t="s">
        <v>500</v>
      </c>
      <c r="C54" s="318"/>
      <c r="D54" s="318"/>
      <c r="E54" s="229"/>
      <c r="F54" s="229"/>
      <c r="G54" s="228">
        <f>SUM(G40:G53)</f>
        <v>0</v>
      </c>
      <c r="H54" s="231"/>
      <c r="I54" s="231"/>
      <c r="J54" s="231">
        <f>SUM(J41:J53)</f>
        <v>0</v>
      </c>
      <c r="K54" s="230"/>
    </row>
    <row r="55" spans="2:11" hidden="1"/>
    <row r="56" spans="2:11">
      <c r="B56" s="187" t="s">
        <v>507</v>
      </c>
      <c r="C56" s="219"/>
      <c r="D56" s="242"/>
      <c r="E56" s="242"/>
      <c r="F56" s="243"/>
      <c r="G56" s="243"/>
    </row>
    <row r="57" spans="2:11" ht="23.5" customHeight="1">
      <c r="B57" s="320" t="s">
        <v>508</v>
      </c>
      <c r="C57" s="321"/>
      <c r="D57" s="321"/>
      <c r="E57" s="321"/>
      <c r="F57" s="321"/>
      <c r="G57" s="321"/>
      <c r="H57" s="321"/>
      <c r="I57" s="321"/>
      <c r="J57" s="321"/>
      <c r="K57" s="322"/>
    </row>
    <row r="58" spans="2:11" ht="8.5" customHeight="1">
      <c r="B58" s="244"/>
      <c r="C58" s="219"/>
      <c r="D58" s="242"/>
      <c r="E58" s="242"/>
      <c r="F58" s="243"/>
      <c r="G58" s="243"/>
    </row>
    <row r="59" spans="2:11" ht="13.5">
      <c r="B59" s="245" t="s">
        <v>559</v>
      </c>
      <c r="C59" s="219"/>
      <c r="D59" s="242"/>
      <c r="E59" s="242"/>
      <c r="F59" s="243"/>
      <c r="G59" s="243"/>
    </row>
    <row r="60" spans="2:11">
      <c r="B60" s="323" t="s">
        <v>501</v>
      </c>
      <c r="C60" s="323"/>
      <c r="D60" s="323"/>
      <c r="E60" s="323"/>
      <c r="F60" s="325" t="s">
        <v>502</v>
      </c>
      <c r="G60" s="325"/>
      <c r="H60" s="325" t="s">
        <v>503</v>
      </c>
      <c r="I60" s="325"/>
      <c r="J60" s="328" t="s">
        <v>510</v>
      </c>
      <c r="K60" s="328"/>
    </row>
    <row r="61" spans="2:11" ht="15" customHeight="1">
      <c r="B61" s="324" t="s">
        <v>504</v>
      </c>
      <c r="C61" s="324"/>
      <c r="D61" s="324"/>
      <c r="E61" s="324"/>
      <c r="F61" s="326"/>
      <c r="G61" s="326"/>
      <c r="H61" s="326"/>
      <c r="I61" s="326"/>
      <c r="J61" s="329"/>
      <c r="K61" s="329"/>
    </row>
    <row r="62" spans="2:11" ht="15" customHeight="1">
      <c r="B62" s="324" t="s">
        <v>505</v>
      </c>
      <c r="C62" s="324"/>
      <c r="D62" s="324"/>
      <c r="E62" s="324"/>
      <c r="F62" s="327"/>
      <c r="G62" s="327"/>
      <c r="H62" s="327"/>
      <c r="I62" s="327"/>
      <c r="J62" s="329"/>
      <c r="K62" s="329"/>
    </row>
    <row r="63" spans="2:11" ht="15" customHeight="1">
      <c r="B63" s="324" t="s">
        <v>506</v>
      </c>
      <c r="C63" s="324"/>
      <c r="D63" s="324"/>
      <c r="E63" s="324"/>
      <c r="F63" s="330" t="e">
        <f>F61/F62</f>
        <v>#DIV/0!</v>
      </c>
      <c r="G63" s="330"/>
      <c r="H63" s="330" t="e">
        <f>H61/H62</f>
        <v>#DIV/0!</v>
      </c>
      <c r="I63" s="330"/>
      <c r="J63" s="329"/>
      <c r="K63" s="329"/>
    </row>
    <row r="64" spans="2:11">
      <c r="B64" s="246" t="s">
        <v>509</v>
      </c>
      <c r="C64" s="219"/>
      <c r="D64" s="246"/>
      <c r="E64" s="242"/>
      <c r="F64" s="242"/>
      <c r="G64" s="219"/>
    </row>
    <row r="65" spans="2:6" ht="7.75" customHeight="1"/>
    <row r="66" spans="2:6">
      <c r="B66" s="179" t="s">
        <v>446</v>
      </c>
      <c r="C66" s="178"/>
    </row>
    <row r="67" spans="2:6" ht="18.649999999999999" customHeight="1">
      <c r="B67" s="302" t="s">
        <v>593</v>
      </c>
      <c r="C67" s="302"/>
      <c r="D67" s="302"/>
      <c r="E67" s="302"/>
      <c r="F67" s="302"/>
    </row>
  </sheetData>
  <mergeCells count="24">
    <mergeCell ref="B67:F67"/>
    <mergeCell ref="F63:G63"/>
    <mergeCell ref="H60:I60"/>
    <mergeCell ref="H61:I61"/>
    <mergeCell ref="H62:I62"/>
    <mergeCell ref="H63:I63"/>
    <mergeCell ref="B57:K57"/>
    <mergeCell ref="B60:E60"/>
    <mergeCell ref="B61:E61"/>
    <mergeCell ref="B62:E62"/>
    <mergeCell ref="B63:E63"/>
    <mergeCell ref="F60:G60"/>
    <mergeCell ref="F61:G61"/>
    <mergeCell ref="F62:G62"/>
    <mergeCell ref="J60:K60"/>
    <mergeCell ref="J61:K61"/>
    <mergeCell ref="J62:K62"/>
    <mergeCell ref="J63:K63"/>
    <mergeCell ref="D6:D20"/>
    <mergeCell ref="C23:C37"/>
    <mergeCell ref="D23:D37"/>
    <mergeCell ref="C40:C54"/>
    <mergeCell ref="D40:D54"/>
    <mergeCell ref="C6:C20"/>
  </mergeCells>
  <phoneticPr fontId="63" type="noConversion"/>
  <dataValidations count="1">
    <dataValidation type="list" allowBlank="1" showInputMessage="1" showErrorMessage="1" sqref="B25 B67" xr:uid="{93D79F00-1681-44A7-87DE-808F834BC983}">
      <formula1>"未执行,已执行"</formula1>
    </dataValidation>
  </dataValidations>
  <hyperlinks>
    <hyperlink ref="A1" location="index!A1" tooltip="单击此处将定位到表[index]" display="&lt;&lt;" xr:uid="{00000000-0004-0000-0300-000000000000}"/>
  </hyperlinks>
  <printOptions horizontalCentered="1"/>
  <pageMargins left="0.78740157480314965" right="0.19685039370078741" top="0.78740157480314965" bottom="0.39370078740157483" header="0" footer="0"/>
  <pageSetup paperSize="9" scale="77" fitToHeight="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P68"/>
  <sheetViews>
    <sheetView tabSelected="1" topLeftCell="A25" workbookViewId="0">
      <selection activeCell="B30" sqref="B30:B38"/>
    </sheetView>
  </sheetViews>
  <sheetFormatPr defaultColWidth="9" defaultRowHeight="13"/>
  <cols>
    <col min="1" max="1" width="2.08203125" style="30" customWidth="1"/>
    <col min="2" max="2" width="16.08203125" style="30" customWidth="1"/>
    <col min="3" max="3" width="9.58203125" style="30" customWidth="1"/>
    <col min="4" max="5" width="11.75" style="30" bestFit="1" customWidth="1"/>
    <col min="6" max="6" width="9.58203125" style="30" customWidth="1"/>
    <col min="7" max="8" width="9" style="30"/>
    <col min="9" max="9" width="14.58203125" style="30" customWidth="1"/>
    <col min="10" max="10" width="30.9140625" style="30" bestFit="1" customWidth="1"/>
    <col min="11" max="12" width="11.75" style="30" bestFit="1" customWidth="1"/>
    <col min="13" max="16384" width="9" style="30"/>
  </cols>
  <sheetData>
    <row r="1" spans="1:16" ht="30" customHeight="1">
      <c r="A1" s="20" t="s">
        <v>107</v>
      </c>
      <c r="B1" s="280" t="s">
        <v>565</v>
      </c>
      <c r="N1" s="101" t="str">
        <f>index!D10</f>
        <v>&lt;5017-04&gt;</v>
      </c>
    </row>
    <row r="2" spans="1:16" ht="18" customHeight="1">
      <c r="B2" s="136" t="s">
        <v>579</v>
      </c>
      <c r="C2" s="137"/>
      <c r="D2" s="137"/>
      <c r="E2" s="137"/>
      <c r="F2" s="137"/>
      <c r="G2" s="137"/>
      <c r="H2" s="137"/>
      <c r="I2" s="137"/>
      <c r="J2" s="137"/>
      <c r="K2" s="137"/>
      <c r="L2" s="137"/>
      <c r="M2" s="137"/>
      <c r="N2" s="137"/>
    </row>
    <row r="3" spans="1:16" ht="6" customHeight="1"/>
    <row r="4" spans="1:16" ht="14">
      <c r="B4" s="272" t="s">
        <v>580</v>
      </c>
      <c r="C4" s="247"/>
      <c r="D4" s="248"/>
      <c r="E4" s="249"/>
      <c r="F4" s="249"/>
      <c r="G4" s="250"/>
      <c r="H4" s="251"/>
      <c r="I4" s="252"/>
      <c r="J4" s="252"/>
      <c r="K4" s="253"/>
      <c r="L4" s="254"/>
      <c r="M4" s="254"/>
      <c r="N4" s="247"/>
    </row>
    <row r="5" spans="1:16" ht="14">
      <c r="B5" s="275" t="s">
        <v>538</v>
      </c>
      <c r="C5" s="247"/>
      <c r="D5" s="248"/>
      <c r="E5" s="249"/>
      <c r="F5" s="249"/>
      <c r="G5" s="250"/>
      <c r="H5" s="251"/>
      <c r="I5" s="252"/>
      <c r="J5" s="252"/>
      <c r="K5" s="253"/>
      <c r="L5" s="254"/>
      <c r="M5" s="254"/>
      <c r="N5" s="247"/>
    </row>
    <row r="6" spans="1:16" ht="15" customHeight="1">
      <c r="B6" s="277" t="s">
        <v>530</v>
      </c>
      <c r="C6" s="387" t="s">
        <v>601</v>
      </c>
      <c r="D6" s="337"/>
      <c r="E6" s="337"/>
      <c r="F6" s="337"/>
      <c r="G6" s="337"/>
      <c r="H6" s="337"/>
      <c r="I6" s="337"/>
      <c r="J6" s="337"/>
      <c r="K6" s="337"/>
      <c r="L6" s="337"/>
      <c r="M6" s="337"/>
      <c r="N6" s="338"/>
    </row>
    <row r="7" spans="1:16" ht="15.65" customHeight="1">
      <c r="B7" s="339" t="s">
        <v>512</v>
      </c>
      <c r="C7" s="340"/>
      <c r="D7" s="340"/>
      <c r="E7" s="340"/>
      <c r="F7" s="341"/>
      <c r="G7" s="342" t="s">
        <v>513</v>
      </c>
      <c r="H7" s="342"/>
      <c r="I7" s="342"/>
      <c r="J7" s="342"/>
      <c r="K7" s="342"/>
      <c r="L7" s="342"/>
      <c r="M7" s="332" t="s">
        <v>525</v>
      </c>
      <c r="N7" s="334" t="s">
        <v>526</v>
      </c>
      <c r="O7" s="394" t="s">
        <v>615</v>
      </c>
      <c r="P7" s="395"/>
    </row>
    <row r="8" spans="1:16" ht="24" customHeight="1">
      <c r="B8" s="278" t="s">
        <v>514</v>
      </c>
      <c r="C8" s="279" t="s">
        <v>532</v>
      </c>
      <c r="D8" s="279" t="s">
        <v>533</v>
      </c>
      <c r="E8" s="279" t="s">
        <v>534</v>
      </c>
      <c r="F8" s="279" t="s">
        <v>535</v>
      </c>
      <c r="G8" s="273" t="s">
        <v>519</v>
      </c>
      <c r="H8" s="273" t="s">
        <v>520</v>
      </c>
      <c r="I8" s="273" t="s">
        <v>521</v>
      </c>
      <c r="J8" s="274" t="s">
        <v>522</v>
      </c>
      <c r="K8" s="273" t="s">
        <v>523</v>
      </c>
      <c r="L8" s="273" t="s">
        <v>524</v>
      </c>
      <c r="M8" s="333"/>
      <c r="N8" s="335"/>
      <c r="O8" s="396"/>
      <c r="P8" s="397"/>
    </row>
    <row r="9" spans="1:16">
      <c r="B9" s="389" t="s">
        <v>602</v>
      </c>
      <c r="C9" s="256">
        <v>44392</v>
      </c>
      <c r="D9" s="390">
        <v>0</v>
      </c>
      <c r="E9" s="258">
        <v>3000000</v>
      </c>
      <c r="F9" s="255" t="s">
        <v>603</v>
      </c>
      <c r="G9" s="256">
        <v>44392</v>
      </c>
      <c r="H9" s="256" t="s">
        <v>617</v>
      </c>
      <c r="I9" s="391" t="s">
        <v>618</v>
      </c>
      <c r="J9" s="259" t="str">
        <f>MID(I9,3,17)</f>
        <v>佛山市南海瀚蓝固废处理投资有限公司</v>
      </c>
      <c r="K9" s="392">
        <v>3000000</v>
      </c>
      <c r="L9" s="257"/>
      <c r="M9" s="399" t="s">
        <v>616</v>
      </c>
      <c r="N9" s="388"/>
      <c r="O9" s="398">
        <f>K9-E9</f>
        <v>0</v>
      </c>
      <c r="P9" s="398">
        <f>L9-D9</f>
        <v>0</v>
      </c>
    </row>
    <row r="10" spans="1:16">
      <c r="B10" s="389" t="s">
        <v>602</v>
      </c>
      <c r="C10" s="256">
        <v>44428</v>
      </c>
      <c r="D10" s="390">
        <v>0</v>
      </c>
      <c r="E10" s="258">
        <v>750000</v>
      </c>
      <c r="F10" s="255" t="s">
        <v>604</v>
      </c>
      <c r="G10" s="256">
        <v>44428</v>
      </c>
      <c r="H10" s="256" t="s">
        <v>619</v>
      </c>
      <c r="I10" s="391" t="s">
        <v>620</v>
      </c>
      <c r="J10" s="259" t="str">
        <f>MID(I10,3,15)</f>
        <v>广西桂平市城市投资发展有限公司</v>
      </c>
      <c r="K10" s="392">
        <v>750000</v>
      </c>
      <c r="L10" s="257"/>
      <c r="M10" s="399" t="s">
        <v>616</v>
      </c>
      <c r="N10" s="388"/>
      <c r="O10" s="398">
        <f t="shared" ref="O10:O38" si="0">K10-E10</f>
        <v>0</v>
      </c>
      <c r="P10" s="398">
        <f t="shared" ref="P10:P38" si="1">L10-D10</f>
        <v>0</v>
      </c>
    </row>
    <row r="11" spans="1:16">
      <c r="B11" s="389" t="s">
        <v>602</v>
      </c>
      <c r="C11" s="256">
        <v>44392</v>
      </c>
      <c r="D11" s="390">
        <v>0</v>
      </c>
      <c r="E11" s="258">
        <v>300000</v>
      </c>
      <c r="F11" s="255" t="s">
        <v>605</v>
      </c>
      <c r="G11" s="256">
        <v>44392</v>
      </c>
      <c r="H11" s="256" t="s">
        <v>621</v>
      </c>
      <c r="I11" s="391" t="s">
        <v>622</v>
      </c>
      <c r="J11" s="259" t="str">
        <f>MID(I11,3,14)</f>
        <v>瀚蓝（厦门）固废处理有限公司</v>
      </c>
      <c r="K11" s="392">
        <v>300000</v>
      </c>
      <c r="L11" s="257"/>
      <c r="M11" s="399" t="s">
        <v>616</v>
      </c>
      <c r="N11" s="388"/>
      <c r="O11" s="398">
        <f t="shared" si="0"/>
        <v>0</v>
      </c>
      <c r="P11" s="398">
        <f t="shared" si="1"/>
        <v>0</v>
      </c>
    </row>
    <row r="12" spans="1:16">
      <c r="B12" s="389" t="s">
        <v>602</v>
      </c>
      <c r="C12" s="256">
        <v>44544</v>
      </c>
      <c r="D12" s="390">
        <v>0</v>
      </c>
      <c r="E12" s="258">
        <v>300000</v>
      </c>
      <c r="F12" s="255" t="s">
        <v>605</v>
      </c>
      <c r="G12" s="256">
        <v>44544</v>
      </c>
      <c r="H12" s="256" t="s">
        <v>619</v>
      </c>
      <c r="I12" s="391" t="s">
        <v>622</v>
      </c>
      <c r="J12" s="259" t="str">
        <f>MID(I12,3,14)</f>
        <v>瀚蓝（厦门）固废处理有限公司</v>
      </c>
      <c r="K12" s="392">
        <v>300000</v>
      </c>
      <c r="L12" s="257"/>
      <c r="M12" s="399" t="s">
        <v>616</v>
      </c>
      <c r="N12" s="388"/>
      <c r="O12" s="398">
        <f t="shared" si="0"/>
        <v>0</v>
      </c>
      <c r="P12" s="398">
        <f t="shared" si="1"/>
        <v>0</v>
      </c>
    </row>
    <row r="13" spans="1:16">
      <c r="B13" s="389" t="s">
        <v>602</v>
      </c>
      <c r="C13" s="256">
        <v>44537</v>
      </c>
      <c r="D13" s="390">
        <v>0</v>
      </c>
      <c r="E13" s="258">
        <v>100000</v>
      </c>
      <c r="F13" s="255" t="s">
        <v>605</v>
      </c>
      <c r="G13" s="256">
        <v>44537</v>
      </c>
      <c r="H13" s="256" t="s">
        <v>617</v>
      </c>
      <c r="I13" s="391" t="s">
        <v>622</v>
      </c>
      <c r="J13" s="259" t="str">
        <f>MID(I13,3,14)</f>
        <v>瀚蓝（厦门）固废处理有限公司</v>
      </c>
      <c r="K13" s="392">
        <v>100000</v>
      </c>
      <c r="L13" s="257"/>
      <c r="M13" s="399" t="s">
        <v>616</v>
      </c>
      <c r="N13" s="388"/>
      <c r="O13" s="398">
        <f t="shared" si="0"/>
        <v>0</v>
      </c>
      <c r="P13" s="398">
        <f t="shared" si="1"/>
        <v>0</v>
      </c>
    </row>
    <row r="14" spans="1:16">
      <c r="B14" s="389" t="s">
        <v>602</v>
      </c>
      <c r="C14" s="256">
        <v>44431</v>
      </c>
      <c r="D14" s="390">
        <v>0</v>
      </c>
      <c r="E14" s="258">
        <v>77272.639999999999</v>
      </c>
      <c r="F14" s="255" t="s">
        <v>567</v>
      </c>
      <c r="G14" s="256">
        <v>44421</v>
      </c>
      <c r="H14" s="256" t="s">
        <v>623</v>
      </c>
      <c r="I14" s="391" t="s">
        <v>624</v>
      </c>
      <c r="J14" s="259"/>
      <c r="K14" s="392">
        <v>77272.639999999999</v>
      </c>
      <c r="L14" s="257"/>
      <c r="M14" s="399" t="s">
        <v>616</v>
      </c>
      <c r="N14" s="388"/>
      <c r="O14" s="398">
        <f t="shared" si="0"/>
        <v>0</v>
      </c>
      <c r="P14" s="398">
        <f t="shared" si="1"/>
        <v>0</v>
      </c>
    </row>
    <row r="15" spans="1:16">
      <c r="B15" s="389" t="s">
        <v>602</v>
      </c>
      <c r="C15" s="256">
        <v>44488</v>
      </c>
      <c r="D15" s="390">
        <v>703500</v>
      </c>
      <c r="E15" s="258">
        <v>0</v>
      </c>
      <c r="F15" s="255" t="s">
        <v>606</v>
      </c>
      <c r="G15" s="256">
        <v>44488</v>
      </c>
      <c r="H15" s="256" t="s">
        <v>625</v>
      </c>
      <c r="I15" s="391" t="s">
        <v>626</v>
      </c>
      <c r="J15" s="259" t="str">
        <f>MID(I15,3,15)</f>
        <v>国航空规划设计研究总院有限公司</v>
      </c>
      <c r="K15" s="258"/>
      <c r="L15" s="393">
        <v>703500</v>
      </c>
      <c r="M15" s="399" t="s">
        <v>616</v>
      </c>
      <c r="N15" s="388"/>
      <c r="O15" s="398">
        <f t="shared" si="0"/>
        <v>0</v>
      </c>
      <c r="P15" s="398">
        <f t="shared" si="1"/>
        <v>0</v>
      </c>
    </row>
    <row r="16" spans="1:16">
      <c r="B16" s="389" t="s">
        <v>602</v>
      </c>
      <c r="C16" s="256">
        <v>44532</v>
      </c>
      <c r="D16" s="390">
        <v>584734.67000000004</v>
      </c>
      <c r="E16" s="258">
        <v>0</v>
      </c>
      <c r="F16" s="255" t="s">
        <v>607</v>
      </c>
      <c r="G16" s="256">
        <v>44532</v>
      </c>
      <c r="H16" s="256" t="s">
        <v>627</v>
      </c>
      <c r="I16" s="391" t="s">
        <v>628</v>
      </c>
      <c r="J16" s="259" t="str">
        <f>MID(I16,2,12)</f>
        <v>广西海恒电力科技有限公司</v>
      </c>
      <c r="K16" s="258"/>
      <c r="L16" s="393">
        <v>584734.67000000004</v>
      </c>
      <c r="M16" s="399" t="s">
        <v>616</v>
      </c>
      <c r="N16" s="388"/>
      <c r="O16" s="398">
        <f t="shared" si="0"/>
        <v>0</v>
      </c>
      <c r="P16" s="398">
        <f t="shared" si="1"/>
        <v>0</v>
      </c>
    </row>
    <row r="17" spans="2:16">
      <c r="B17" s="389" t="s">
        <v>602</v>
      </c>
      <c r="C17" s="256">
        <v>44393</v>
      </c>
      <c r="D17" s="390">
        <v>300000</v>
      </c>
      <c r="E17" s="258">
        <v>0</v>
      </c>
      <c r="F17" s="255" t="s">
        <v>605</v>
      </c>
      <c r="G17" s="256">
        <v>44393</v>
      </c>
      <c r="H17" s="256" t="s">
        <v>629</v>
      </c>
      <c r="I17" s="391" t="s">
        <v>630</v>
      </c>
      <c r="J17" s="259" t="str">
        <f>MID(I17,2,14)</f>
        <v>瀚蓝（厦门）固废处理有限公司</v>
      </c>
      <c r="K17" s="258"/>
      <c r="L17" s="393">
        <v>300000</v>
      </c>
      <c r="M17" s="399" t="s">
        <v>616</v>
      </c>
      <c r="N17" s="388"/>
      <c r="O17" s="398">
        <f t="shared" si="0"/>
        <v>0</v>
      </c>
      <c r="P17" s="398">
        <f t="shared" si="1"/>
        <v>0</v>
      </c>
    </row>
    <row r="18" spans="2:16">
      <c r="B18" s="389" t="s">
        <v>602</v>
      </c>
      <c r="C18" s="256">
        <v>44526</v>
      </c>
      <c r="D18" s="390">
        <v>185000</v>
      </c>
      <c r="E18" s="258">
        <v>0</v>
      </c>
      <c r="F18" s="255" t="s">
        <v>608</v>
      </c>
      <c r="G18" s="256">
        <v>44526</v>
      </c>
      <c r="H18" s="256" t="s">
        <v>631</v>
      </c>
      <c r="I18" s="391" t="s">
        <v>632</v>
      </c>
      <c r="J18" s="259" t="str">
        <f>MID(I18,2,20)</f>
        <v>中国能源建设集团广西电力设计研究院有限公</v>
      </c>
      <c r="K18" s="258"/>
      <c r="L18" s="393">
        <v>185000</v>
      </c>
      <c r="M18" s="399" t="s">
        <v>616</v>
      </c>
      <c r="N18" s="388"/>
      <c r="O18" s="398">
        <f t="shared" si="0"/>
        <v>0</v>
      </c>
      <c r="P18" s="398">
        <f t="shared" si="1"/>
        <v>0</v>
      </c>
    </row>
    <row r="19" spans="2:16">
      <c r="B19" s="389" t="s">
        <v>602</v>
      </c>
      <c r="C19" s="256">
        <v>44468</v>
      </c>
      <c r="D19" s="390">
        <v>150000</v>
      </c>
      <c r="E19" s="258">
        <v>0</v>
      </c>
      <c r="F19" s="255" t="s">
        <v>606</v>
      </c>
      <c r="G19" s="256">
        <v>44468</v>
      </c>
      <c r="H19" s="256" t="s">
        <v>633</v>
      </c>
      <c r="I19" s="391" t="s">
        <v>626</v>
      </c>
      <c r="J19" s="259" t="str">
        <f>MID(I19,2,15)</f>
        <v>中国航空规划设计研究总院有限公</v>
      </c>
      <c r="K19" s="258"/>
      <c r="L19" s="393">
        <v>150000</v>
      </c>
      <c r="M19" s="399" t="s">
        <v>616</v>
      </c>
      <c r="N19" s="388"/>
      <c r="O19" s="398">
        <f t="shared" si="0"/>
        <v>0</v>
      </c>
      <c r="P19" s="398">
        <f t="shared" si="1"/>
        <v>0</v>
      </c>
    </row>
    <row r="20" spans="2:16">
      <c r="B20" s="389" t="s">
        <v>602</v>
      </c>
      <c r="C20" s="256">
        <v>44403</v>
      </c>
      <c r="D20" s="390">
        <v>145000</v>
      </c>
      <c r="E20" s="258">
        <v>0</v>
      </c>
      <c r="F20" s="255" t="s">
        <v>609</v>
      </c>
      <c r="G20" s="256">
        <v>44403</v>
      </c>
      <c r="H20" s="256" t="s">
        <v>634</v>
      </c>
      <c r="I20" s="391" t="s">
        <v>635</v>
      </c>
      <c r="J20" s="259" t="str">
        <f>MID(I20,2,12)</f>
        <v>广西宇宏环保咨询有限公司</v>
      </c>
      <c r="K20" s="258"/>
      <c r="L20" s="393">
        <v>145000</v>
      </c>
      <c r="M20" s="399" t="s">
        <v>616</v>
      </c>
      <c r="N20" s="388"/>
      <c r="O20" s="398">
        <f t="shared" si="0"/>
        <v>0</v>
      </c>
      <c r="P20" s="398">
        <f t="shared" si="1"/>
        <v>0</v>
      </c>
    </row>
    <row r="21" spans="2:16">
      <c r="B21" s="389" t="s">
        <v>602</v>
      </c>
      <c r="C21" s="256">
        <v>44403</v>
      </c>
      <c r="D21" s="390">
        <v>145000</v>
      </c>
      <c r="E21" s="258">
        <v>0</v>
      </c>
      <c r="F21" s="255" t="s">
        <v>609</v>
      </c>
      <c r="G21" s="256">
        <v>44403</v>
      </c>
      <c r="H21" s="256" t="s">
        <v>642</v>
      </c>
      <c r="I21" s="391" t="s">
        <v>635</v>
      </c>
      <c r="J21" s="259" t="str">
        <f>MID(I21,2,12)</f>
        <v>广西宇宏环保咨询有限公司</v>
      </c>
      <c r="K21" s="258"/>
      <c r="L21" s="393">
        <v>145000</v>
      </c>
      <c r="M21" s="399" t="s">
        <v>616</v>
      </c>
      <c r="N21" s="388"/>
      <c r="O21" s="398">
        <f t="shared" si="0"/>
        <v>0</v>
      </c>
      <c r="P21" s="398">
        <f t="shared" si="1"/>
        <v>0</v>
      </c>
    </row>
    <row r="22" spans="2:16">
      <c r="B22" s="389" t="s">
        <v>602</v>
      </c>
      <c r="C22" s="256">
        <v>44515</v>
      </c>
      <c r="D22" s="390">
        <v>110378.81</v>
      </c>
      <c r="E22" s="258">
        <v>0</v>
      </c>
      <c r="F22" s="255"/>
      <c r="G22" s="256">
        <v>44515</v>
      </c>
      <c r="H22" s="256" t="s">
        <v>636</v>
      </c>
      <c r="I22" s="391" t="s">
        <v>637</v>
      </c>
      <c r="J22" s="259" t="str">
        <f>MID(I22,7,6)</f>
        <v>桂平金山公司</v>
      </c>
      <c r="K22" s="258"/>
      <c r="L22" s="393">
        <v>110378.81</v>
      </c>
      <c r="M22" s="399" t="s">
        <v>616</v>
      </c>
      <c r="N22" s="388"/>
      <c r="O22" s="398">
        <f t="shared" si="0"/>
        <v>0</v>
      </c>
      <c r="P22" s="398">
        <f t="shared" si="1"/>
        <v>0</v>
      </c>
    </row>
    <row r="23" spans="2:16">
      <c r="B23" s="389" t="s">
        <v>602</v>
      </c>
      <c r="C23" s="256">
        <v>44484</v>
      </c>
      <c r="D23" s="390">
        <v>104258.73</v>
      </c>
      <c r="E23" s="258">
        <v>0</v>
      </c>
      <c r="F23" s="255"/>
      <c r="G23" s="256">
        <v>44484</v>
      </c>
      <c r="H23" s="256" t="s">
        <v>638</v>
      </c>
      <c r="I23" s="391" t="s">
        <v>639</v>
      </c>
      <c r="J23" s="259" t="str">
        <f>MID(I23,7,6)</f>
        <v>桂平金山环保</v>
      </c>
      <c r="K23" s="258"/>
      <c r="L23" s="393">
        <v>104258.73</v>
      </c>
      <c r="M23" s="399" t="s">
        <v>616</v>
      </c>
      <c r="N23" s="388"/>
      <c r="O23" s="398">
        <f t="shared" si="0"/>
        <v>0</v>
      </c>
      <c r="P23" s="398">
        <f t="shared" si="1"/>
        <v>0</v>
      </c>
    </row>
    <row r="24" spans="2:16">
      <c r="B24" s="389" t="s">
        <v>602</v>
      </c>
      <c r="C24" s="256">
        <v>44448</v>
      </c>
      <c r="D24" s="390">
        <v>96564.3</v>
      </c>
      <c r="E24" s="258">
        <v>0</v>
      </c>
      <c r="F24" s="255" t="s">
        <v>610</v>
      </c>
      <c r="G24" s="256">
        <v>44448</v>
      </c>
      <c r="H24" s="256" t="s">
        <v>636</v>
      </c>
      <c r="I24" s="391" t="s">
        <v>640</v>
      </c>
      <c r="J24" s="259" t="str">
        <f t="shared" ref="J10:J38" si="2">MID(I24,3,17)</f>
        <v>平市华府家具广场/桂平市金山环保工</v>
      </c>
      <c r="K24" s="258"/>
      <c r="L24" s="393">
        <v>96564.3</v>
      </c>
      <c r="M24" s="399" t="s">
        <v>616</v>
      </c>
      <c r="N24" s="388"/>
      <c r="O24" s="398">
        <f t="shared" si="0"/>
        <v>0</v>
      </c>
      <c r="P24" s="398">
        <f t="shared" si="1"/>
        <v>0</v>
      </c>
    </row>
    <row r="25" spans="2:16">
      <c r="B25" s="389" t="s">
        <v>602</v>
      </c>
      <c r="C25" s="256">
        <v>44421</v>
      </c>
      <c r="D25" s="390">
        <v>90000</v>
      </c>
      <c r="E25" s="258">
        <v>0</v>
      </c>
      <c r="F25" s="255" t="s">
        <v>567</v>
      </c>
      <c r="G25" s="256">
        <v>44421</v>
      </c>
      <c r="H25" s="256" t="s">
        <v>623</v>
      </c>
      <c r="I25" s="391" t="s">
        <v>641</v>
      </c>
      <c r="J25" s="259" t="str">
        <f t="shared" si="2"/>
        <v>薪资发放</v>
      </c>
      <c r="K25" s="258"/>
      <c r="L25" s="393">
        <v>90000</v>
      </c>
      <c r="M25" s="399" t="s">
        <v>616</v>
      </c>
      <c r="N25" s="388"/>
      <c r="O25" s="398">
        <f t="shared" si="0"/>
        <v>0</v>
      </c>
      <c r="P25" s="398">
        <f t="shared" si="1"/>
        <v>0</v>
      </c>
    </row>
    <row r="26" spans="2:16">
      <c r="B26" s="389" t="s">
        <v>602</v>
      </c>
      <c r="C26" s="256">
        <v>44468</v>
      </c>
      <c r="D26" s="390">
        <v>90000</v>
      </c>
      <c r="E26" s="258">
        <v>0</v>
      </c>
      <c r="F26" s="255" t="s">
        <v>611</v>
      </c>
      <c r="G26" s="256">
        <v>44468</v>
      </c>
      <c r="H26" s="256" t="s">
        <v>649</v>
      </c>
      <c r="I26" s="391" t="s">
        <v>650</v>
      </c>
      <c r="J26" s="259" t="str">
        <f t="shared" si="2"/>
        <v>西电网有限责任公司贵港桂平供电局/</v>
      </c>
      <c r="K26" s="258"/>
      <c r="L26" s="393">
        <v>90000</v>
      </c>
      <c r="M26" s="399" t="s">
        <v>616</v>
      </c>
      <c r="N26" s="388"/>
      <c r="O26" s="398">
        <f t="shared" si="0"/>
        <v>0</v>
      </c>
      <c r="P26" s="398">
        <f t="shared" si="1"/>
        <v>0</v>
      </c>
    </row>
    <row r="27" spans="2:16">
      <c r="B27" s="389" t="s">
        <v>602</v>
      </c>
      <c r="C27" s="256">
        <v>44454</v>
      </c>
      <c r="D27" s="390">
        <v>83487.360000000001</v>
      </c>
      <c r="E27" s="258">
        <v>0</v>
      </c>
      <c r="F27" s="255"/>
      <c r="G27" s="256">
        <v>44454</v>
      </c>
      <c r="H27" s="256" t="s">
        <v>642</v>
      </c>
      <c r="I27" s="391" t="s">
        <v>643</v>
      </c>
      <c r="J27" s="259" t="str">
        <f t="shared" si="2"/>
        <v>见附件/关于桂平金山公司8月员工工</v>
      </c>
      <c r="K27" s="258"/>
      <c r="L27" s="393">
        <v>83487.360000000001</v>
      </c>
      <c r="M27" s="399" t="s">
        <v>616</v>
      </c>
      <c r="N27" s="388"/>
      <c r="O27" s="398">
        <f t="shared" si="0"/>
        <v>0</v>
      </c>
      <c r="P27" s="398">
        <f t="shared" si="1"/>
        <v>0</v>
      </c>
    </row>
    <row r="28" spans="2:16">
      <c r="B28" s="389" t="s">
        <v>602</v>
      </c>
      <c r="C28" s="256">
        <v>44512</v>
      </c>
      <c r="D28" s="390">
        <v>79399</v>
      </c>
      <c r="E28" s="258">
        <v>0</v>
      </c>
      <c r="F28" s="255" t="s">
        <v>612</v>
      </c>
      <c r="G28" s="256">
        <v>44512</v>
      </c>
      <c r="H28" s="256" t="s">
        <v>644</v>
      </c>
      <c r="I28" s="391" t="s">
        <v>645</v>
      </c>
      <c r="J28" s="259" t="str">
        <f t="shared" si="2"/>
        <v>平市瑞达电子器材经营部/桂平市金山</v>
      </c>
      <c r="K28" s="258"/>
      <c r="L28" s="393">
        <v>79399</v>
      </c>
      <c r="M28" s="399" t="s">
        <v>616</v>
      </c>
      <c r="N28" s="388"/>
      <c r="O28" s="398">
        <f t="shared" si="0"/>
        <v>0</v>
      </c>
      <c r="P28" s="398">
        <f t="shared" si="1"/>
        <v>0</v>
      </c>
    </row>
    <row r="29" spans="2:16">
      <c r="B29" s="389" t="s">
        <v>602</v>
      </c>
      <c r="C29" s="256">
        <v>44399</v>
      </c>
      <c r="D29" s="390">
        <v>77378</v>
      </c>
      <c r="E29" s="258">
        <v>0</v>
      </c>
      <c r="F29" s="255" t="s">
        <v>613</v>
      </c>
      <c r="G29" s="256">
        <v>44399</v>
      </c>
      <c r="H29" s="256" t="s">
        <v>644</v>
      </c>
      <c r="I29" s="391" t="s">
        <v>646</v>
      </c>
      <c r="J29" s="259" t="str">
        <f t="shared" si="2"/>
        <v>西锦玉贸易有限公司/桂平市金山环保</v>
      </c>
      <c r="K29" s="258"/>
      <c r="L29" s="393">
        <v>77378</v>
      </c>
      <c r="M29" s="399" t="s">
        <v>616</v>
      </c>
      <c r="N29" s="388"/>
      <c r="O29" s="398">
        <f t="shared" si="0"/>
        <v>0</v>
      </c>
      <c r="P29" s="398">
        <f t="shared" si="1"/>
        <v>0</v>
      </c>
    </row>
    <row r="30" spans="2:16">
      <c r="B30" s="389" t="s">
        <v>602</v>
      </c>
      <c r="C30" s="256">
        <v>44482</v>
      </c>
      <c r="D30" s="390">
        <v>71960</v>
      </c>
      <c r="E30" s="258">
        <v>0</v>
      </c>
      <c r="F30" s="255" t="s">
        <v>614</v>
      </c>
      <c r="G30" s="256">
        <v>44482</v>
      </c>
      <c r="H30" s="256" t="s">
        <v>647</v>
      </c>
      <c r="I30" s="391" t="s">
        <v>648</v>
      </c>
      <c r="J30" s="259" t="str">
        <f t="shared" si="2"/>
        <v>港市方盛汽车销售服务有限公司/桂平</v>
      </c>
      <c r="K30" s="258"/>
      <c r="L30" s="393">
        <v>71960</v>
      </c>
      <c r="M30" s="399" t="s">
        <v>616</v>
      </c>
      <c r="N30" s="388"/>
      <c r="O30" s="398">
        <f t="shared" si="0"/>
        <v>0</v>
      </c>
      <c r="P30" s="398">
        <f t="shared" si="1"/>
        <v>0</v>
      </c>
    </row>
    <row r="31" spans="2:16">
      <c r="B31" s="389" t="s">
        <v>602</v>
      </c>
      <c r="C31" s="256">
        <v>44550</v>
      </c>
      <c r="D31" s="390">
        <v>0</v>
      </c>
      <c r="E31" s="258">
        <v>16500000</v>
      </c>
      <c r="F31" s="255" t="s">
        <v>603</v>
      </c>
      <c r="G31" s="256">
        <v>44550</v>
      </c>
      <c r="H31" s="256" t="s">
        <v>659</v>
      </c>
      <c r="I31" s="391" t="s">
        <v>618</v>
      </c>
      <c r="J31" s="259" t="str">
        <f t="shared" si="2"/>
        <v>佛山市南海瀚蓝固废处理投资有限公司</v>
      </c>
      <c r="K31" s="258">
        <v>16500000</v>
      </c>
      <c r="L31" s="393"/>
      <c r="M31" s="399" t="s">
        <v>616</v>
      </c>
      <c r="N31" s="388"/>
      <c r="O31" s="398">
        <f t="shared" si="0"/>
        <v>0</v>
      </c>
      <c r="P31" s="398">
        <f t="shared" si="1"/>
        <v>0</v>
      </c>
    </row>
    <row r="32" spans="2:16">
      <c r="B32" s="389" t="s">
        <v>602</v>
      </c>
      <c r="C32" s="256">
        <v>44551</v>
      </c>
      <c r="D32" s="390">
        <v>0</v>
      </c>
      <c r="E32" s="258">
        <v>366328.85</v>
      </c>
      <c r="F32" s="255" t="s">
        <v>680</v>
      </c>
      <c r="G32" s="256">
        <v>44551</v>
      </c>
      <c r="H32" s="256" t="s">
        <v>660</v>
      </c>
      <c r="I32" s="391" t="s">
        <v>668</v>
      </c>
      <c r="J32" s="259" t="str">
        <f t="shared" si="2"/>
        <v>河北恒生永筑岩土工程勘察有限公司广</v>
      </c>
      <c r="K32" s="258">
        <v>366328.85</v>
      </c>
      <c r="L32" s="393"/>
      <c r="M32" s="399" t="s">
        <v>616</v>
      </c>
      <c r="N32" s="388"/>
      <c r="O32" s="398">
        <f t="shared" si="0"/>
        <v>0</v>
      </c>
      <c r="P32" s="398">
        <f t="shared" si="1"/>
        <v>0</v>
      </c>
    </row>
    <row r="33" spans="2:16">
      <c r="B33" s="389" t="s">
        <v>602</v>
      </c>
      <c r="C33" s="256">
        <v>44551</v>
      </c>
      <c r="D33" s="390">
        <v>13095248</v>
      </c>
      <c r="E33" s="258">
        <v>0</v>
      </c>
      <c r="F33" s="255" t="s">
        <v>678</v>
      </c>
      <c r="G33" s="256">
        <v>44551</v>
      </c>
      <c r="H33" s="256" t="s">
        <v>653</v>
      </c>
      <c r="I33" s="391" t="s">
        <v>661</v>
      </c>
      <c r="J33" s="259" t="str">
        <f t="shared" si="2"/>
        <v>国化学工程第四建设有限公司/桂平项</v>
      </c>
      <c r="K33" s="258"/>
      <c r="L33" s="393">
        <v>13095248</v>
      </c>
      <c r="M33" s="399" t="s">
        <v>616</v>
      </c>
      <c r="N33" s="388"/>
      <c r="O33" s="398">
        <f t="shared" si="0"/>
        <v>0</v>
      </c>
      <c r="P33" s="398">
        <f t="shared" si="1"/>
        <v>0</v>
      </c>
    </row>
    <row r="34" spans="2:16">
      <c r="B34" s="389" t="s">
        <v>602</v>
      </c>
      <c r="C34" s="256">
        <v>44551</v>
      </c>
      <c r="D34" s="390">
        <v>499449.59999999998</v>
      </c>
      <c r="E34" s="258">
        <v>0</v>
      </c>
      <c r="F34" s="255" t="s">
        <v>679</v>
      </c>
      <c r="G34" s="256">
        <v>44551</v>
      </c>
      <c r="H34" s="256" t="s">
        <v>654</v>
      </c>
      <c r="I34" s="391" t="s">
        <v>662</v>
      </c>
      <c r="J34" s="259" t="str">
        <f t="shared" si="2"/>
        <v>航勘察设计研究院有限公司/桂平项目</v>
      </c>
      <c r="K34" s="258"/>
      <c r="L34" s="393">
        <v>499449.59999999998</v>
      </c>
      <c r="M34" s="399" t="s">
        <v>616</v>
      </c>
      <c r="N34" s="388"/>
      <c r="O34" s="398">
        <f t="shared" si="0"/>
        <v>0</v>
      </c>
      <c r="P34" s="398">
        <f t="shared" si="1"/>
        <v>0</v>
      </c>
    </row>
    <row r="35" spans="2:16">
      <c r="B35" s="389" t="s">
        <v>602</v>
      </c>
      <c r="C35" s="256">
        <v>44554</v>
      </c>
      <c r="D35" s="390">
        <v>400000</v>
      </c>
      <c r="E35" s="258">
        <v>0</v>
      </c>
      <c r="F35" s="255" t="s">
        <v>605</v>
      </c>
      <c r="G35" s="256">
        <v>44554</v>
      </c>
      <c r="H35" s="256" t="s">
        <v>655</v>
      </c>
      <c r="I35" s="391" t="s">
        <v>663</v>
      </c>
      <c r="J35" s="259" t="str">
        <f t="shared" si="2"/>
        <v>蓝（厦门）固废处理有限公司/关于转</v>
      </c>
      <c r="K35" s="258"/>
      <c r="L35" s="393">
        <v>400000</v>
      </c>
      <c r="M35" s="399" t="s">
        <v>616</v>
      </c>
      <c r="N35" s="388"/>
      <c r="O35" s="398">
        <f t="shared" si="0"/>
        <v>0</v>
      </c>
      <c r="P35" s="398">
        <f t="shared" si="1"/>
        <v>0</v>
      </c>
    </row>
    <row r="36" spans="2:16">
      <c r="B36" s="389" t="s">
        <v>602</v>
      </c>
      <c r="C36" s="256">
        <v>44551</v>
      </c>
      <c r="D36" s="390">
        <v>366328.85</v>
      </c>
      <c r="E36" s="258">
        <v>0</v>
      </c>
      <c r="F36" s="255" t="s">
        <v>680</v>
      </c>
      <c r="G36" s="256">
        <v>44551</v>
      </c>
      <c r="H36" s="256" t="s">
        <v>656</v>
      </c>
      <c r="I36" s="391" t="s">
        <v>664</v>
      </c>
      <c r="J36" s="259" t="str">
        <f t="shared" si="2"/>
        <v>北恒生永筑岩土工程勘察有限公司广西</v>
      </c>
      <c r="K36" s="258"/>
      <c r="L36" s="393">
        <v>366328.85</v>
      </c>
      <c r="M36" s="399" t="s">
        <v>616</v>
      </c>
      <c r="N36" s="388"/>
      <c r="O36" s="398">
        <f t="shared" si="0"/>
        <v>0</v>
      </c>
      <c r="P36" s="398">
        <f t="shared" si="1"/>
        <v>0</v>
      </c>
    </row>
    <row r="37" spans="2:16">
      <c r="B37" s="389" t="s">
        <v>602</v>
      </c>
      <c r="C37" s="256">
        <v>44557</v>
      </c>
      <c r="D37" s="390">
        <v>366328.85</v>
      </c>
      <c r="E37" s="258">
        <v>0</v>
      </c>
      <c r="F37" s="255" t="s">
        <v>681</v>
      </c>
      <c r="G37" s="256">
        <v>44557</v>
      </c>
      <c r="H37" s="256" t="s">
        <v>657</v>
      </c>
      <c r="I37" s="391" t="s">
        <v>665</v>
      </c>
      <c r="J37" s="259" t="str">
        <f t="shared" si="2"/>
        <v>北恒生永筑岩土工程有限公司广西分公</v>
      </c>
      <c r="K37" s="258"/>
      <c r="L37" s="393">
        <v>366328.85</v>
      </c>
      <c r="M37" s="399" t="s">
        <v>616</v>
      </c>
      <c r="N37" s="388"/>
      <c r="O37" s="398">
        <f t="shared" si="0"/>
        <v>0</v>
      </c>
      <c r="P37" s="398">
        <f t="shared" si="1"/>
        <v>0</v>
      </c>
    </row>
    <row r="38" spans="2:16">
      <c r="B38" s="389" t="s">
        <v>602</v>
      </c>
      <c r="C38" s="256">
        <v>44545</v>
      </c>
      <c r="D38" s="390">
        <v>141916.12</v>
      </c>
      <c r="E38" s="258">
        <v>0</v>
      </c>
      <c r="F38" s="255"/>
      <c r="G38" s="256">
        <v>44545</v>
      </c>
      <c r="H38" s="256" t="s">
        <v>658</v>
      </c>
      <c r="I38" s="391" t="s">
        <v>666</v>
      </c>
      <c r="J38" s="259" t="str">
        <f t="shared" si="2"/>
        <v>见附件/关于桂平金山公司2021年</v>
      </c>
      <c r="K38" s="258"/>
      <c r="L38" s="393">
        <v>141916.12</v>
      </c>
      <c r="M38" s="399" t="s">
        <v>616</v>
      </c>
      <c r="N38" s="388"/>
      <c r="O38" s="398">
        <f t="shared" si="0"/>
        <v>0</v>
      </c>
      <c r="P38" s="398">
        <f t="shared" si="1"/>
        <v>0</v>
      </c>
    </row>
    <row r="39" spans="2:16">
      <c r="B39" s="255"/>
      <c r="C39" s="256"/>
      <c r="D39" s="257"/>
      <c r="E39" s="258"/>
      <c r="F39" s="255"/>
      <c r="G39" s="256"/>
      <c r="H39" s="255"/>
      <c r="I39" s="259"/>
      <c r="J39" s="259"/>
      <c r="K39" s="258"/>
      <c r="L39" s="257"/>
      <c r="M39" s="255"/>
      <c r="N39" s="255"/>
      <c r="O39" s="398"/>
      <c r="P39" s="398"/>
    </row>
    <row r="40" spans="2:16">
      <c r="B40" s="255"/>
      <c r="C40" s="256"/>
      <c r="D40" s="257"/>
      <c r="E40" s="258"/>
      <c r="F40" s="255"/>
      <c r="G40" s="256"/>
      <c r="H40" s="255"/>
      <c r="I40" s="259"/>
      <c r="J40" s="259"/>
      <c r="K40" s="258"/>
      <c r="L40" s="257"/>
      <c r="M40" s="255"/>
      <c r="N40" s="255"/>
      <c r="O40" s="398"/>
      <c r="P40" s="398"/>
    </row>
    <row r="41" spans="2:16" ht="6" customHeight="1">
      <c r="B41" s="247"/>
      <c r="C41" s="247"/>
      <c r="D41" s="247"/>
      <c r="E41" s="247"/>
      <c r="F41" s="247"/>
      <c r="G41" s="260"/>
      <c r="H41" s="247"/>
      <c r="I41" s="261"/>
      <c r="J41" s="261"/>
      <c r="K41" s="247"/>
      <c r="L41" s="247"/>
      <c r="M41" s="247"/>
      <c r="N41" s="247"/>
    </row>
    <row r="42" spans="2:16" ht="15" hidden="1" customHeight="1">
      <c r="B42" s="277" t="s">
        <v>530</v>
      </c>
      <c r="C42" s="336" t="s">
        <v>536</v>
      </c>
      <c r="D42" s="337"/>
      <c r="E42" s="337"/>
      <c r="F42" s="337"/>
      <c r="G42" s="337"/>
      <c r="H42" s="337"/>
      <c r="I42" s="337"/>
      <c r="J42" s="337"/>
      <c r="K42" s="337"/>
      <c r="L42" s="337"/>
      <c r="M42" s="337"/>
      <c r="N42" s="338"/>
    </row>
    <row r="43" spans="2:16" hidden="1">
      <c r="B43" s="339" t="s">
        <v>512</v>
      </c>
      <c r="C43" s="340"/>
      <c r="D43" s="340"/>
      <c r="E43" s="340"/>
      <c r="F43" s="341"/>
      <c r="G43" s="342" t="s">
        <v>513</v>
      </c>
      <c r="H43" s="342"/>
      <c r="I43" s="342"/>
      <c r="J43" s="342"/>
      <c r="K43" s="342"/>
      <c r="L43" s="342"/>
      <c r="M43" s="332" t="s">
        <v>525</v>
      </c>
      <c r="N43" s="334" t="s">
        <v>526</v>
      </c>
    </row>
    <row r="44" spans="2:16" ht="24" hidden="1" customHeight="1">
      <c r="B44" s="278" t="s">
        <v>514</v>
      </c>
      <c r="C44" s="279" t="s">
        <v>532</v>
      </c>
      <c r="D44" s="279" t="s">
        <v>533</v>
      </c>
      <c r="E44" s="279" t="s">
        <v>534</v>
      </c>
      <c r="F44" s="279" t="s">
        <v>535</v>
      </c>
      <c r="G44" s="273" t="s">
        <v>519</v>
      </c>
      <c r="H44" s="273" t="s">
        <v>520</v>
      </c>
      <c r="I44" s="273" t="s">
        <v>521</v>
      </c>
      <c r="J44" s="274" t="s">
        <v>522</v>
      </c>
      <c r="K44" s="273" t="s">
        <v>523</v>
      </c>
      <c r="L44" s="273" t="s">
        <v>524</v>
      </c>
      <c r="M44" s="333"/>
      <c r="N44" s="335"/>
    </row>
    <row r="45" spans="2:16" hidden="1">
      <c r="B45" s="255"/>
      <c r="C45" s="256"/>
      <c r="D45" s="257"/>
      <c r="E45" s="258"/>
      <c r="F45" s="255"/>
      <c r="G45" s="256"/>
      <c r="H45" s="255"/>
      <c r="I45" s="259"/>
      <c r="J45" s="259"/>
      <c r="K45" s="258"/>
      <c r="L45" s="257"/>
      <c r="M45" s="255"/>
      <c r="N45" s="255"/>
    </row>
    <row r="46" spans="2:16" hidden="1">
      <c r="B46" s="255"/>
      <c r="C46" s="256"/>
      <c r="D46" s="257"/>
      <c r="E46" s="258"/>
      <c r="F46" s="255"/>
      <c r="G46" s="256"/>
      <c r="H46" s="255"/>
      <c r="I46" s="259"/>
      <c r="J46" s="259"/>
      <c r="K46" s="258"/>
      <c r="L46" s="257"/>
      <c r="M46" s="255"/>
      <c r="N46" s="255"/>
    </row>
    <row r="47" spans="2:16" hidden="1">
      <c r="B47" s="255"/>
      <c r="C47" s="256"/>
      <c r="D47" s="257"/>
      <c r="E47" s="258"/>
      <c r="F47" s="255"/>
      <c r="G47" s="256"/>
      <c r="H47" s="255"/>
      <c r="I47" s="259"/>
      <c r="J47" s="259"/>
      <c r="K47" s="258"/>
      <c r="L47" s="257"/>
      <c r="M47" s="255"/>
      <c r="N47" s="255"/>
    </row>
    <row r="48" spans="2:16" ht="6" hidden="1" customHeight="1">
      <c r="B48" s="262"/>
      <c r="C48" s="263"/>
      <c r="D48" s="264"/>
      <c r="E48" s="262"/>
      <c r="F48" s="264"/>
      <c r="G48" s="263"/>
      <c r="H48" s="262"/>
      <c r="I48" s="265"/>
      <c r="J48" s="265"/>
      <c r="K48" s="262"/>
      <c r="L48" s="264"/>
      <c r="M48" s="262"/>
      <c r="N48" s="262"/>
    </row>
    <row r="49" spans="2:14" ht="15" hidden="1" customHeight="1">
      <c r="B49" s="277" t="s">
        <v>530</v>
      </c>
      <c r="C49" s="336" t="s">
        <v>537</v>
      </c>
      <c r="D49" s="337"/>
      <c r="E49" s="337"/>
      <c r="F49" s="337"/>
      <c r="G49" s="337"/>
      <c r="H49" s="337"/>
      <c r="I49" s="337"/>
      <c r="J49" s="337"/>
      <c r="K49" s="337"/>
      <c r="L49" s="337"/>
      <c r="M49" s="337"/>
      <c r="N49" s="338"/>
    </row>
    <row r="50" spans="2:14" hidden="1">
      <c r="B50" s="339" t="s">
        <v>512</v>
      </c>
      <c r="C50" s="340"/>
      <c r="D50" s="340"/>
      <c r="E50" s="340"/>
      <c r="F50" s="341"/>
      <c r="G50" s="342" t="s">
        <v>513</v>
      </c>
      <c r="H50" s="342"/>
      <c r="I50" s="342"/>
      <c r="J50" s="342"/>
      <c r="K50" s="342"/>
      <c r="L50" s="342"/>
      <c r="M50" s="332" t="s">
        <v>525</v>
      </c>
      <c r="N50" s="334" t="s">
        <v>526</v>
      </c>
    </row>
    <row r="51" spans="2:14" ht="24" hidden="1" customHeight="1">
      <c r="B51" s="278" t="s">
        <v>514</v>
      </c>
      <c r="C51" s="279" t="s">
        <v>532</v>
      </c>
      <c r="D51" s="279" t="s">
        <v>533</v>
      </c>
      <c r="E51" s="279" t="s">
        <v>534</v>
      </c>
      <c r="F51" s="279" t="s">
        <v>535</v>
      </c>
      <c r="G51" s="273" t="s">
        <v>519</v>
      </c>
      <c r="H51" s="273" t="s">
        <v>520</v>
      </c>
      <c r="I51" s="273" t="s">
        <v>521</v>
      </c>
      <c r="J51" s="274" t="s">
        <v>522</v>
      </c>
      <c r="K51" s="273" t="s">
        <v>523</v>
      </c>
      <c r="L51" s="273" t="s">
        <v>524</v>
      </c>
      <c r="M51" s="333"/>
      <c r="N51" s="335"/>
    </row>
    <row r="52" spans="2:14" hidden="1">
      <c r="B52" s="255"/>
      <c r="C52" s="256"/>
      <c r="D52" s="257"/>
      <c r="E52" s="258"/>
      <c r="F52" s="255"/>
      <c r="G52" s="256"/>
      <c r="H52" s="255"/>
      <c r="I52" s="259"/>
      <c r="J52" s="259"/>
      <c r="K52" s="258"/>
      <c r="L52" s="257"/>
      <c r="M52" s="255"/>
      <c r="N52" s="255"/>
    </row>
    <row r="53" spans="2:14" hidden="1">
      <c r="B53" s="255"/>
      <c r="C53" s="256"/>
      <c r="D53" s="257"/>
      <c r="E53" s="258"/>
      <c r="F53" s="255"/>
      <c r="G53" s="256"/>
      <c r="H53" s="255"/>
      <c r="I53" s="259"/>
      <c r="J53" s="259"/>
      <c r="K53" s="258"/>
      <c r="L53" s="257"/>
      <c r="M53" s="255"/>
      <c r="N53" s="255"/>
    </row>
    <row r="54" spans="2:14" hidden="1">
      <c r="B54" s="255"/>
      <c r="C54" s="256"/>
      <c r="D54" s="257"/>
      <c r="E54" s="258"/>
      <c r="F54" s="255"/>
      <c r="G54" s="256"/>
      <c r="H54" s="255"/>
      <c r="I54" s="259"/>
      <c r="J54" s="259"/>
      <c r="K54" s="258"/>
      <c r="L54" s="257"/>
      <c r="M54" s="255"/>
      <c r="N54" s="255"/>
    </row>
    <row r="55" spans="2:14" ht="6" customHeight="1">
      <c r="C55" s="247"/>
      <c r="D55" s="247"/>
      <c r="E55" s="247"/>
      <c r="F55" s="247"/>
      <c r="G55" s="260"/>
      <c r="H55" s="247"/>
      <c r="I55" s="261"/>
      <c r="J55" s="261"/>
      <c r="K55" s="247"/>
      <c r="L55" s="247"/>
      <c r="M55" s="247"/>
      <c r="N55" s="247"/>
    </row>
    <row r="56" spans="2:14" hidden="1">
      <c r="B56" s="276" t="s">
        <v>527</v>
      </c>
      <c r="C56" s="247"/>
      <c r="D56" s="247"/>
      <c r="E56" s="247"/>
      <c r="F56" s="247"/>
      <c r="G56" s="260"/>
      <c r="H56" s="247"/>
      <c r="I56" s="261"/>
      <c r="J56" s="261"/>
      <c r="K56" s="247"/>
      <c r="L56" s="247"/>
      <c r="M56" s="247"/>
      <c r="N56" s="247"/>
    </row>
    <row r="57" spans="2:14" ht="15" hidden="1" customHeight="1">
      <c r="B57" s="277" t="s">
        <v>530</v>
      </c>
      <c r="C57" s="336" t="s">
        <v>531</v>
      </c>
      <c r="D57" s="337"/>
      <c r="E57" s="337"/>
      <c r="F57" s="337"/>
      <c r="G57" s="337"/>
      <c r="H57" s="337"/>
      <c r="I57" s="337"/>
      <c r="J57" s="337"/>
      <c r="K57" s="337"/>
      <c r="L57" s="337"/>
      <c r="M57" s="337"/>
      <c r="N57" s="338"/>
    </row>
    <row r="58" spans="2:14" ht="15" hidden="1" customHeight="1">
      <c r="B58" s="277" t="s">
        <v>530</v>
      </c>
      <c r="C58" s="336" t="s">
        <v>531</v>
      </c>
      <c r="D58" s="337"/>
      <c r="E58" s="337"/>
      <c r="F58" s="337"/>
      <c r="G58" s="337"/>
      <c r="H58" s="337"/>
      <c r="I58" s="337"/>
      <c r="J58" s="337"/>
      <c r="K58" s="337"/>
      <c r="L58" s="337"/>
      <c r="M58" s="337"/>
      <c r="N58" s="338"/>
    </row>
    <row r="59" spans="2:14" ht="5.5" customHeight="1">
      <c r="B59" s="254"/>
      <c r="C59" s="254"/>
      <c r="D59" s="254"/>
      <c r="E59" s="254"/>
      <c r="F59" s="254"/>
      <c r="G59" s="266"/>
      <c r="H59" s="254"/>
      <c r="I59" s="254"/>
      <c r="J59" s="254"/>
      <c r="K59" s="254"/>
      <c r="L59" s="254"/>
      <c r="M59" s="254"/>
      <c r="N59" s="247"/>
    </row>
    <row r="60" spans="2:14">
      <c r="B60" s="303" t="s">
        <v>447</v>
      </c>
      <c r="C60" s="331"/>
      <c r="D60" s="331"/>
      <c r="E60" s="267"/>
      <c r="F60" s="267"/>
      <c r="G60" s="267"/>
      <c r="H60" s="267"/>
      <c r="I60" s="267"/>
      <c r="J60" s="267"/>
      <c r="K60" s="268"/>
      <c r="L60" s="268"/>
      <c r="M60" s="268"/>
      <c r="N60" s="268"/>
    </row>
    <row r="61" spans="2:14">
      <c r="B61" s="343" t="s">
        <v>651</v>
      </c>
      <c r="C61" s="344"/>
      <c r="D61" s="344"/>
      <c r="E61" s="344"/>
      <c r="F61" s="344"/>
      <c r="G61" s="344"/>
      <c r="H61" s="344"/>
      <c r="I61" s="344"/>
      <c r="J61" s="344"/>
      <c r="K61" s="344"/>
      <c r="L61" s="344"/>
      <c r="M61" s="344"/>
      <c r="N61" s="345"/>
    </row>
    <row r="62" spans="2:14" ht="28.4" customHeight="1">
      <c r="B62" s="346" t="s">
        <v>528</v>
      </c>
      <c r="C62" s="347"/>
      <c r="D62" s="347"/>
      <c r="E62" s="347"/>
      <c r="F62" s="347"/>
      <c r="G62" s="347"/>
      <c r="H62" s="347"/>
      <c r="I62" s="347"/>
      <c r="J62" s="347"/>
      <c r="K62" s="347"/>
      <c r="L62" s="347"/>
      <c r="M62" s="347"/>
      <c r="N62" s="348"/>
    </row>
    <row r="63" spans="2:14" ht="28.75" customHeight="1">
      <c r="B63" s="346" t="s">
        <v>529</v>
      </c>
      <c r="C63" s="347"/>
      <c r="D63" s="347"/>
      <c r="E63" s="347"/>
      <c r="F63" s="347"/>
      <c r="G63" s="347"/>
      <c r="H63" s="347"/>
      <c r="I63" s="347"/>
      <c r="J63" s="347"/>
      <c r="K63" s="347"/>
      <c r="L63" s="347"/>
      <c r="M63" s="347"/>
      <c r="N63" s="348"/>
    </row>
    <row r="64" spans="2:14" ht="16.399999999999999" customHeight="1">
      <c r="B64" s="346" t="s">
        <v>539</v>
      </c>
      <c r="C64" s="347"/>
      <c r="D64" s="347"/>
      <c r="E64" s="347"/>
      <c r="F64" s="347"/>
      <c r="G64" s="347"/>
      <c r="H64" s="347"/>
      <c r="I64" s="347"/>
      <c r="J64" s="347"/>
      <c r="K64" s="347"/>
      <c r="L64" s="347"/>
      <c r="M64" s="347"/>
      <c r="N64" s="348"/>
    </row>
    <row r="65" spans="2:14" ht="46.75" customHeight="1">
      <c r="B65" s="349" t="s">
        <v>540</v>
      </c>
      <c r="C65" s="350"/>
      <c r="D65" s="350"/>
      <c r="E65" s="350"/>
      <c r="F65" s="350"/>
      <c r="G65" s="350"/>
      <c r="H65" s="350"/>
      <c r="I65" s="350"/>
      <c r="J65" s="350"/>
      <c r="K65" s="350"/>
      <c r="L65" s="350"/>
      <c r="M65" s="350"/>
      <c r="N65" s="351"/>
    </row>
    <row r="66" spans="2:14" ht="9" customHeight="1">
      <c r="B66" s="269"/>
      <c r="C66" s="270"/>
      <c r="D66" s="270"/>
      <c r="E66" s="270"/>
      <c r="F66" s="270"/>
      <c r="G66" s="271"/>
      <c r="H66" s="270"/>
      <c r="I66" s="270"/>
      <c r="J66" s="270"/>
      <c r="K66" s="270"/>
      <c r="L66" s="270"/>
      <c r="M66" s="270"/>
      <c r="N66" s="247"/>
    </row>
    <row r="67" spans="2:14">
      <c r="B67" s="179" t="s">
        <v>446</v>
      </c>
      <c r="C67" s="178"/>
    </row>
    <row r="68" spans="2:14" ht="16.399999999999999" customHeight="1">
      <c r="B68" s="302" t="s">
        <v>593</v>
      </c>
      <c r="C68" s="302"/>
      <c r="D68" s="302"/>
      <c r="E68" s="302"/>
      <c r="F68" s="302"/>
    </row>
  </sheetData>
  <mergeCells count="25">
    <mergeCell ref="O7:P8"/>
    <mergeCell ref="B68:F68"/>
    <mergeCell ref="B61:N61"/>
    <mergeCell ref="B62:N62"/>
    <mergeCell ref="B63:N63"/>
    <mergeCell ref="B64:N64"/>
    <mergeCell ref="B65:N65"/>
    <mergeCell ref="C6:N6"/>
    <mergeCell ref="C42:N42"/>
    <mergeCell ref="B43:F43"/>
    <mergeCell ref="G43:L43"/>
    <mergeCell ref="M43:M44"/>
    <mergeCell ref="N43:N44"/>
    <mergeCell ref="B7:F7"/>
    <mergeCell ref="G7:L7"/>
    <mergeCell ref="B60:D60"/>
    <mergeCell ref="M7:M8"/>
    <mergeCell ref="N7:N8"/>
    <mergeCell ref="C49:N49"/>
    <mergeCell ref="B50:F50"/>
    <mergeCell ref="G50:L50"/>
    <mergeCell ref="M50:M51"/>
    <mergeCell ref="N50:N51"/>
    <mergeCell ref="C57:N57"/>
    <mergeCell ref="C58:N58"/>
  </mergeCells>
  <phoneticPr fontId="63" type="noConversion"/>
  <dataValidations count="1">
    <dataValidation type="list" allowBlank="1" showInputMessage="1" showErrorMessage="1" sqref="B68" xr:uid="{4F32BF2B-4F96-408C-8012-3DA887C53649}">
      <formula1>"未执行,已执行"</formula1>
    </dataValidation>
  </dataValidations>
  <hyperlinks>
    <hyperlink ref="A1" location="index!A1" tooltip="单击此处将定位到表[index]" display="&lt;&lt;" xr:uid="{00000000-0004-0000-0400-000000000000}"/>
  </hyperlinks>
  <printOptions horizontalCentered="1"/>
  <pageMargins left="0" right="0" top="0.39370078740157483" bottom="0.19685039370078741" header="0" footer="0"/>
  <pageSetup paperSize="9" scale="96"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60F0F-DEAF-415D-BA66-6E9A8F194E92}">
  <sheetPr codeName="Sheet22">
    <pageSetUpPr fitToPage="1"/>
  </sheetPr>
  <dimension ref="A1:P59"/>
  <sheetViews>
    <sheetView workbookViewId="0">
      <selection activeCell="I39" sqref="I39"/>
    </sheetView>
  </sheetViews>
  <sheetFormatPr defaultColWidth="9" defaultRowHeight="13"/>
  <cols>
    <col min="1" max="1" width="2.08203125" style="30" customWidth="1"/>
    <col min="2" max="2" width="20.33203125" style="30" customWidth="1"/>
    <col min="3" max="4" width="8.58203125" style="30" customWidth="1"/>
    <col min="5" max="5" width="12.33203125" style="30" customWidth="1"/>
    <col min="6" max="7" width="10.83203125" style="30" bestFit="1" customWidth="1"/>
    <col min="8" max="8" width="24.5" style="30" customWidth="1"/>
    <col min="9" max="9" width="9.58203125" style="401" customWidth="1"/>
    <col min="10" max="11" width="11.75" style="30" bestFit="1" customWidth="1"/>
    <col min="12" max="12" width="16.83203125" style="30" customWidth="1"/>
    <col min="13" max="13" width="16.5" style="30" customWidth="1"/>
    <col min="14" max="16384" width="9" style="30"/>
  </cols>
  <sheetData>
    <row r="1" spans="1:16" ht="30" customHeight="1">
      <c r="A1" s="20" t="s">
        <v>107</v>
      </c>
      <c r="B1" s="280" t="s">
        <v>566</v>
      </c>
      <c r="N1" s="101" t="str">
        <f>index!D11</f>
        <v>&lt;5017-05&gt;</v>
      </c>
    </row>
    <row r="2" spans="1:16" ht="18" customHeight="1">
      <c r="B2" s="136" t="s">
        <v>578</v>
      </c>
      <c r="C2" s="137"/>
      <c r="D2" s="137"/>
      <c r="E2" s="137"/>
      <c r="F2" s="137"/>
      <c r="G2" s="137"/>
      <c r="H2" s="137"/>
      <c r="I2" s="402"/>
      <c r="J2" s="137"/>
      <c r="K2" s="137"/>
      <c r="L2" s="137"/>
      <c r="M2" s="137"/>
      <c r="N2" s="137"/>
    </row>
    <row r="3" spans="1:16" ht="6" customHeight="1"/>
    <row r="4" spans="1:16" ht="15" customHeight="1">
      <c r="B4" s="361" t="s">
        <v>669</v>
      </c>
      <c r="C4" s="361"/>
      <c r="D4" s="361"/>
      <c r="E4" s="361"/>
      <c r="F4" s="361"/>
      <c r="G4" s="361"/>
      <c r="H4" s="361"/>
      <c r="I4" s="362" t="s">
        <v>545</v>
      </c>
      <c r="J4" s="362"/>
      <c r="K4" s="362"/>
      <c r="L4" s="362"/>
      <c r="M4" s="363" t="s">
        <v>546</v>
      </c>
      <c r="N4" s="365" t="s">
        <v>526</v>
      </c>
      <c r="O4" s="394" t="s">
        <v>615</v>
      </c>
      <c r="P4" s="395"/>
    </row>
    <row r="5" spans="1:16" ht="24" customHeight="1">
      <c r="B5" s="283" t="s">
        <v>550</v>
      </c>
      <c r="C5" s="284" t="s">
        <v>519</v>
      </c>
      <c r="D5" s="284" t="s">
        <v>520</v>
      </c>
      <c r="E5" s="284" t="s">
        <v>521</v>
      </c>
      <c r="F5" s="284" t="s">
        <v>523</v>
      </c>
      <c r="G5" s="284" t="s">
        <v>524</v>
      </c>
      <c r="H5" s="285" t="s">
        <v>522</v>
      </c>
      <c r="I5" s="403" t="s">
        <v>515</v>
      </c>
      <c r="J5" s="286" t="s">
        <v>516</v>
      </c>
      <c r="K5" s="286" t="s">
        <v>517</v>
      </c>
      <c r="L5" s="286" t="s">
        <v>518</v>
      </c>
      <c r="M5" s="364"/>
      <c r="N5" s="366"/>
      <c r="O5" s="396"/>
      <c r="P5" s="397"/>
    </row>
    <row r="6" spans="1:16">
      <c r="B6" s="389" t="s">
        <v>652</v>
      </c>
      <c r="C6" s="400">
        <v>44551</v>
      </c>
      <c r="D6" s="256" t="s">
        <v>653</v>
      </c>
      <c r="E6" s="258" t="s">
        <v>661</v>
      </c>
      <c r="F6" s="257"/>
      <c r="G6" s="257">
        <v>13095248</v>
      </c>
      <c r="H6" s="391" t="str">
        <f>MID(E6,2,14)</f>
        <v>中国化学工程第四建设有限公司</v>
      </c>
      <c r="I6" s="400">
        <v>44551</v>
      </c>
      <c r="J6" s="390">
        <v>13095248</v>
      </c>
      <c r="K6" s="258"/>
      <c r="L6" s="400" t="s">
        <v>678</v>
      </c>
      <c r="M6" s="255"/>
      <c r="N6" s="255"/>
      <c r="O6" s="405">
        <f>J6-G6</f>
        <v>0</v>
      </c>
      <c r="P6" s="405">
        <f>K6-F6</f>
        <v>0</v>
      </c>
    </row>
    <row r="7" spans="1:16">
      <c r="B7" s="389" t="s">
        <v>652</v>
      </c>
      <c r="C7" s="400">
        <v>44488</v>
      </c>
      <c r="D7" s="256" t="s">
        <v>625</v>
      </c>
      <c r="E7" s="258" t="s">
        <v>626</v>
      </c>
      <c r="F7" s="257"/>
      <c r="G7" s="257">
        <v>703500</v>
      </c>
      <c r="H7" s="391" t="str">
        <f t="shared" ref="H7:H43" si="0">MID(E7,2,14)</f>
        <v>中国航空规划设计研究总院有限</v>
      </c>
      <c r="I7" s="400">
        <v>44488</v>
      </c>
      <c r="J7" s="390">
        <v>703500</v>
      </c>
      <c r="K7" s="258"/>
      <c r="L7" s="400" t="s">
        <v>606</v>
      </c>
      <c r="M7" s="255"/>
      <c r="N7" s="255"/>
      <c r="O7" s="405">
        <f t="shared" ref="O7:O43" si="1">J7-G7</f>
        <v>0</v>
      </c>
      <c r="P7" s="405">
        <f t="shared" ref="P7:P43" si="2">K7-F7</f>
        <v>0</v>
      </c>
    </row>
    <row r="8" spans="1:16">
      <c r="B8" s="389" t="s">
        <v>652</v>
      </c>
      <c r="C8" s="400">
        <v>44532</v>
      </c>
      <c r="D8" s="256" t="s">
        <v>627</v>
      </c>
      <c r="E8" s="258" t="s">
        <v>628</v>
      </c>
      <c r="F8" s="257"/>
      <c r="G8" s="257">
        <v>584734.67000000004</v>
      </c>
      <c r="H8" s="391" t="str">
        <f t="shared" si="0"/>
        <v>广西海恒电力科技有限公司/桂</v>
      </c>
      <c r="I8" s="400">
        <v>44532</v>
      </c>
      <c r="J8" s="390">
        <v>584734.67000000004</v>
      </c>
      <c r="K8" s="258"/>
      <c r="L8" s="400" t="s">
        <v>607</v>
      </c>
      <c r="M8" s="255"/>
      <c r="N8" s="255"/>
      <c r="O8" s="405">
        <f t="shared" si="1"/>
        <v>0</v>
      </c>
      <c r="P8" s="405">
        <f t="shared" si="2"/>
        <v>0</v>
      </c>
    </row>
    <row r="9" spans="1:16">
      <c r="B9" s="389" t="s">
        <v>652</v>
      </c>
      <c r="C9" s="400">
        <v>44551</v>
      </c>
      <c r="D9" s="256" t="s">
        <v>654</v>
      </c>
      <c r="E9" s="258" t="s">
        <v>662</v>
      </c>
      <c r="F9" s="257"/>
      <c r="G9" s="257">
        <v>499449.59999999998</v>
      </c>
      <c r="H9" s="391" t="str">
        <f t="shared" si="0"/>
        <v>中航勘察设计研究院有限公司/</v>
      </c>
      <c r="I9" s="400">
        <v>44551</v>
      </c>
      <c r="J9" s="390">
        <v>499449.59999999998</v>
      </c>
      <c r="K9" s="258"/>
      <c r="L9" s="400" t="s">
        <v>679</v>
      </c>
      <c r="M9" s="255"/>
      <c r="N9" s="255"/>
      <c r="O9" s="405">
        <f t="shared" si="1"/>
        <v>0</v>
      </c>
      <c r="P9" s="405">
        <f t="shared" si="2"/>
        <v>0</v>
      </c>
    </row>
    <row r="10" spans="1:16">
      <c r="B10" s="389" t="s">
        <v>652</v>
      </c>
      <c r="C10" s="400">
        <v>44554</v>
      </c>
      <c r="D10" s="256" t="s">
        <v>655</v>
      </c>
      <c r="E10" s="258" t="s">
        <v>663</v>
      </c>
      <c r="F10" s="257"/>
      <c r="G10" s="257">
        <v>400000</v>
      </c>
      <c r="H10" s="391" t="str">
        <f t="shared" si="0"/>
        <v>瀚蓝（厦门）固废处理有限公司</v>
      </c>
      <c r="I10" s="400">
        <v>44554</v>
      </c>
      <c r="J10" s="390">
        <v>400000</v>
      </c>
      <c r="K10" s="258"/>
      <c r="L10" s="400" t="s">
        <v>605</v>
      </c>
      <c r="M10" s="255"/>
      <c r="N10" s="255"/>
      <c r="O10" s="405">
        <f t="shared" si="1"/>
        <v>0</v>
      </c>
      <c r="P10" s="405">
        <f t="shared" si="2"/>
        <v>0</v>
      </c>
    </row>
    <row r="11" spans="1:16">
      <c r="B11" s="389" t="s">
        <v>652</v>
      </c>
      <c r="C11" s="400">
        <v>44551</v>
      </c>
      <c r="D11" s="256" t="s">
        <v>656</v>
      </c>
      <c r="E11" s="258" t="s">
        <v>664</v>
      </c>
      <c r="F11" s="257"/>
      <c r="G11" s="257">
        <v>366328.85</v>
      </c>
      <c r="H11" s="391" t="str">
        <f t="shared" si="0"/>
        <v>河北恒生永筑岩土工程勘察有限</v>
      </c>
      <c r="I11" s="400">
        <v>44551</v>
      </c>
      <c r="J11" s="390">
        <v>366328.85</v>
      </c>
      <c r="K11" s="258"/>
      <c r="L11" s="400" t="s">
        <v>680</v>
      </c>
      <c r="M11" s="255"/>
      <c r="N11" s="255"/>
      <c r="O11" s="405">
        <f t="shared" si="1"/>
        <v>0</v>
      </c>
      <c r="P11" s="405">
        <f t="shared" si="2"/>
        <v>0</v>
      </c>
    </row>
    <row r="12" spans="1:16">
      <c r="B12" s="389" t="s">
        <v>652</v>
      </c>
      <c r="C12" s="400">
        <v>44557</v>
      </c>
      <c r="D12" s="256" t="s">
        <v>657</v>
      </c>
      <c r="E12" s="258" t="s">
        <v>665</v>
      </c>
      <c r="F12" s="257"/>
      <c r="G12" s="257">
        <v>366328.85</v>
      </c>
      <c r="H12" s="391" t="str">
        <f t="shared" si="0"/>
        <v>河北恒生永筑岩土工程有限公司</v>
      </c>
      <c r="I12" s="400">
        <v>44557</v>
      </c>
      <c r="J12" s="390">
        <v>366328.85</v>
      </c>
      <c r="K12" s="258"/>
      <c r="L12" s="400" t="s">
        <v>681</v>
      </c>
      <c r="M12" s="255"/>
      <c r="N12" s="255"/>
      <c r="O12" s="405">
        <f t="shared" si="1"/>
        <v>0</v>
      </c>
      <c r="P12" s="405">
        <f t="shared" si="2"/>
        <v>0</v>
      </c>
    </row>
    <row r="13" spans="1:16">
      <c r="B13" s="389" t="s">
        <v>652</v>
      </c>
      <c r="C13" s="400">
        <v>44393</v>
      </c>
      <c r="D13" s="256" t="s">
        <v>629</v>
      </c>
      <c r="E13" s="258" t="s">
        <v>630</v>
      </c>
      <c r="F13" s="257"/>
      <c r="G13" s="257">
        <v>300000</v>
      </c>
      <c r="H13" s="391" t="str">
        <f t="shared" si="0"/>
        <v>瀚蓝（厦门）固废处理有限公司</v>
      </c>
      <c r="I13" s="400">
        <v>44393</v>
      </c>
      <c r="J13" s="390">
        <v>300000</v>
      </c>
      <c r="K13" s="258"/>
      <c r="L13" s="400" t="s">
        <v>605</v>
      </c>
      <c r="M13" s="255"/>
      <c r="N13" s="255"/>
      <c r="O13" s="405">
        <f t="shared" si="1"/>
        <v>0</v>
      </c>
      <c r="P13" s="405">
        <f t="shared" si="2"/>
        <v>0</v>
      </c>
    </row>
    <row r="14" spans="1:16">
      <c r="B14" s="389" t="s">
        <v>652</v>
      </c>
      <c r="C14" s="400">
        <v>44526</v>
      </c>
      <c r="D14" s="256" t="s">
        <v>631</v>
      </c>
      <c r="E14" s="258" t="s">
        <v>632</v>
      </c>
      <c r="F14" s="257"/>
      <c r="G14" s="257">
        <v>185000</v>
      </c>
      <c r="H14" s="391" t="str">
        <f t="shared" si="0"/>
        <v>中国能源建设集团广西电力设计</v>
      </c>
      <c r="I14" s="400">
        <v>44526</v>
      </c>
      <c r="J14" s="390">
        <v>185000</v>
      </c>
      <c r="K14" s="258"/>
      <c r="L14" s="400" t="s">
        <v>608</v>
      </c>
      <c r="M14" s="255"/>
      <c r="N14" s="255"/>
      <c r="O14" s="405">
        <f t="shared" si="1"/>
        <v>0</v>
      </c>
      <c r="P14" s="405">
        <f t="shared" si="2"/>
        <v>0</v>
      </c>
    </row>
    <row r="15" spans="1:16">
      <c r="B15" s="389" t="s">
        <v>652</v>
      </c>
      <c r="C15" s="400">
        <v>44468</v>
      </c>
      <c r="D15" s="256" t="s">
        <v>633</v>
      </c>
      <c r="E15" s="258" t="s">
        <v>626</v>
      </c>
      <c r="F15" s="257"/>
      <c r="G15" s="257">
        <v>150000</v>
      </c>
      <c r="H15" s="391" t="str">
        <f t="shared" si="0"/>
        <v>中国航空规划设计研究总院有限</v>
      </c>
      <c r="I15" s="400">
        <v>44468</v>
      </c>
      <c r="J15" s="390">
        <v>150000</v>
      </c>
      <c r="K15" s="258"/>
      <c r="L15" s="400" t="s">
        <v>606</v>
      </c>
      <c r="M15" s="255"/>
      <c r="N15" s="255"/>
      <c r="O15" s="405">
        <f t="shared" si="1"/>
        <v>0</v>
      </c>
      <c r="P15" s="405">
        <f t="shared" si="2"/>
        <v>0</v>
      </c>
    </row>
    <row r="16" spans="1:16">
      <c r="B16" s="389" t="s">
        <v>652</v>
      </c>
      <c r="C16" s="400">
        <v>44403</v>
      </c>
      <c r="D16" s="256" t="s">
        <v>634</v>
      </c>
      <c r="E16" s="258" t="s">
        <v>635</v>
      </c>
      <c r="F16" s="257"/>
      <c r="G16" s="257">
        <v>145000</v>
      </c>
      <c r="H16" s="391" t="str">
        <f t="shared" si="0"/>
        <v>广西宇宏环保咨询有限公司/桂</v>
      </c>
      <c r="I16" s="400">
        <v>44403</v>
      </c>
      <c r="J16" s="390">
        <v>145000</v>
      </c>
      <c r="K16" s="258"/>
      <c r="L16" s="400" t="s">
        <v>609</v>
      </c>
      <c r="M16" s="255"/>
      <c r="N16" s="255"/>
      <c r="O16" s="405">
        <f t="shared" si="1"/>
        <v>0</v>
      </c>
      <c r="P16" s="405">
        <f t="shared" si="2"/>
        <v>0</v>
      </c>
    </row>
    <row r="17" spans="2:16">
      <c r="B17" s="389" t="s">
        <v>652</v>
      </c>
      <c r="C17" s="400">
        <v>44403</v>
      </c>
      <c r="D17" s="256" t="s">
        <v>642</v>
      </c>
      <c r="E17" s="258" t="s">
        <v>635</v>
      </c>
      <c r="F17" s="257"/>
      <c r="G17" s="257">
        <v>145000</v>
      </c>
      <c r="H17" s="391" t="str">
        <f t="shared" si="0"/>
        <v>广西宇宏环保咨询有限公司/桂</v>
      </c>
      <c r="I17" s="400">
        <v>44403</v>
      </c>
      <c r="J17" s="390">
        <v>145000</v>
      </c>
      <c r="K17" s="258"/>
      <c r="L17" s="400" t="s">
        <v>609</v>
      </c>
      <c r="M17" s="255"/>
      <c r="N17" s="255"/>
      <c r="O17" s="405">
        <f t="shared" si="1"/>
        <v>0</v>
      </c>
      <c r="P17" s="405">
        <f t="shared" si="2"/>
        <v>0</v>
      </c>
    </row>
    <row r="18" spans="2:16">
      <c r="B18" s="389" t="s">
        <v>652</v>
      </c>
      <c r="C18" s="400">
        <v>44545</v>
      </c>
      <c r="D18" s="256" t="s">
        <v>658</v>
      </c>
      <c r="E18" s="258" t="s">
        <v>666</v>
      </c>
      <c r="F18" s="257"/>
      <c r="G18" s="257">
        <v>141916.12</v>
      </c>
      <c r="H18" s="391" t="str">
        <f t="shared" si="0"/>
        <v>详见附件/关于桂平金山公司2</v>
      </c>
      <c r="I18" s="400">
        <v>44545</v>
      </c>
      <c r="J18" s="390">
        <v>141916.12</v>
      </c>
      <c r="K18" s="258"/>
      <c r="L18" s="400"/>
      <c r="M18" s="255"/>
      <c r="N18" s="255"/>
      <c r="O18" s="405">
        <f t="shared" si="1"/>
        <v>0</v>
      </c>
      <c r="P18" s="405">
        <f t="shared" si="2"/>
        <v>0</v>
      </c>
    </row>
    <row r="19" spans="2:16">
      <c r="B19" s="389" t="s">
        <v>652</v>
      </c>
      <c r="C19" s="400">
        <v>44515</v>
      </c>
      <c r="D19" s="256" t="s">
        <v>636</v>
      </c>
      <c r="E19" s="258" t="s">
        <v>637</v>
      </c>
      <c r="F19" s="257"/>
      <c r="G19" s="257">
        <v>110378.81</v>
      </c>
      <c r="H19" s="391" t="str">
        <f t="shared" si="0"/>
        <v>详见附件/桂平金山公司关于1</v>
      </c>
      <c r="I19" s="400">
        <v>44515</v>
      </c>
      <c r="J19" s="390">
        <v>110378.81</v>
      </c>
      <c r="K19" s="258"/>
      <c r="L19" s="406"/>
      <c r="M19" s="255"/>
      <c r="N19" s="255"/>
      <c r="O19" s="405">
        <f t="shared" si="1"/>
        <v>0</v>
      </c>
      <c r="P19" s="405">
        <f t="shared" si="2"/>
        <v>0</v>
      </c>
    </row>
    <row r="20" spans="2:16">
      <c r="B20" s="389" t="s">
        <v>652</v>
      </c>
      <c r="C20" s="400">
        <v>44484</v>
      </c>
      <c r="D20" s="256" t="s">
        <v>638</v>
      </c>
      <c r="E20" s="258" t="s">
        <v>639</v>
      </c>
      <c r="F20" s="257"/>
      <c r="G20" s="257">
        <v>104258.73</v>
      </c>
      <c r="H20" s="391" t="str">
        <f t="shared" si="0"/>
        <v>详见附件/桂平金山环保公司关</v>
      </c>
      <c r="I20" s="400">
        <v>44484</v>
      </c>
      <c r="J20" s="390">
        <v>104258.73</v>
      </c>
      <c r="K20" s="258"/>
      <c r="L20" s="406"/>
      <c r="M20" s="255"/>
      <c r="N20" s="255"/>
      <c r="O20" s="405">
        <f t="shared" si="1"/>
        <v>0</v>
      </c>
      <c r="P20" s="405">
        <f t="shared" si="2"/>
        <v>0</v>
      </c>
    </row>
    <row r="21" spans="2:16">
      <c r="B21" s="389" t="s">
        <v>652</v>
      </c>
      <c r="C21" s="400">
        <v>44448</v>
      </c>
      <c r="D21" s="256" t="s">
        <v>636</v>
      </c>
      <c r="E21" s="258" t="s">
        <v>640</v>
      </c>
      <c r="F21" s="257"/>
      <c r="G21" s="257">
        <v>96564.3</v>
      </c>
      <c r="H21" s="391" t="str">
        <f t="shared" si="0"/>
        <v>桂平市华府家具广场/桂平市金</v>
      </c>
      <c r="I21" s="400">
        <v>44448</v>
      </c>
      <c r="J21" s="390">
        <v>96564.3</v>
      </c>
      <c r="K21" s="258"/>
      <c r="L21" s="400" t="s">
        <v>610</v>
      </c>
      <c r="M21" s="255"/>
      <c r="N21" s="255"/>
      <c r="O21" s="405">
        <f t="shared" si="1"/>
        <v>0</v>
      </c>
      <c r="P21" s="405">
        <f t="shared" si="2"/>
        <v>0</v>
      </c>
    </row>
    <row r="22" spans="2:16">
      <c r="B22" s="389" t="s">
        <v>652</v>
      </c>
      <c r="C22" s="400">
        <v>44421</v>
      </c>
      <c r="D22" s="256" t="s">
        <v>623</v>
      </c>
      <c r="E22" s="258" t="s">
        <v>641</v>
      </c>
      <c r="F22" s="257"/>
      <c r="G22" s="257">
        <v>90000</v>
      </c>
      <c r="H22" s="391" t="str">
        <f t="shared" si="0"/>
        <v>于薪资发放</v>
      </c>
      <c r="I22" s="400">
        <v>44421</v>
      </c>
      <c r="J22" s="390">
        <v>90000</v>
      </c>
      <c r="K22" s="258"/>
      <c r="L22" s="400" t="s">
        <v>567</v>
      </c>
      <c r="M22" s="255"/>
      <c r="N22" s="255"/>
      <c r="O22" s="405">
        <f t="shared" si="1"/>
        <v>0</v>
      </c>
      <c r="P22" s="405">
        <f t="shared" si="2"/>
        <v>0</v>
      </c>
    </row>
    <row r="23" spans="2:16">
      <c r="B23" s="389" t="s">
        <v>652</v>
      </c>
      <c r="C23" s="400">
        <v>44468</v>
      </c>
      <c r="D23" s="256" t="s">
        <v>649</v>
      </c>
      <c r="E23" s="258" t="s">
        <v>650</v>
      </c>
      <c r="F23" s="257"/>
      <c r="G23" s="257">
        <v>90000</v>
      </c>
      <c r="H23" s="391" t="str">
        <f t="shared" si="0"/>
        <v>广西电网有限责任公司贵港桂平</v>
      </c>
      <c r="I23" s="400">
        <v>44421</v>
      </c>
      <c r="J23" s="390">
        <v>90000</v>
      </c>
      <c r="K23" s="258"/>
      <c r="L23" s="400" t="s">
        <v>567</v>
      </c>
      <c r="M23" s="255"/>
      <c r="N23" s="255"/>
      <c r="O23" s="405">
        <f t="shared" si="1"/>
        <v>0</v>
      </c>
      <c r="P23" s="405">
        <f t="shared" si="2"/>
        <v>0</v>
      </c>
    </row>
    <row r="24" spans="2:16">
      <c r="B24" s="389" t="s">
        <v>652</v>
      </c>
      <c r="C24" s="400">
        <v>44454</v>
      </c>
      <c r="D24" s="256" t="s">
        <v>642</v>
      </c>
      <c r="E24" s="258" t="s">
        <v>643</v>
      </c>
      <c r="F24" s="257"/>
      <c r="G24" s="257">
        <v>83487.360000000001</v>
      </c>
      <c r="H24" s="391" t="str">
        <f t="shared" si="0"/>
        <v>详见附件/关于桂平金山公司8</v>
      </c>
      <c r="I24" s="400">
        <v>44454</v>
      </c>
      <c r="J24" s="390">
        <v>83487.360000000001</v>
      </c>
      <c r="K24" s="258"/>
      <c r="L24" s="400"/>
      <c r="M24" s="255"/>
      <c r="N24" s="255"/>
      <c r="O24" s="405">
        <f t="shared" si="1"/>
        <v>0</v>
      </c>
      <c r="P24" s="405">
        <f t="shared" si="2"/>
        <v>0</v>
      </c>
    </row>
    <row r="25" spans="2:16">
      <c r="B25" s="389" t="s">
        <v>652</v>
      </c>
      <c r="C25" s="400">
        <v>44421</v>
      </c>
      <c r="D25" s="256" t="s">
        <v>647</v>
      </c>
      <c r="E25" s="258" t="s">
        <v>667</v>
      </c>
      <c r="F25" s="257"/>
      <c r="G25" s="257">
        <v>81348.399999999994</v>
      </c>
      <c r="H25" s="391" t="str">
        <f t="shared" si="0"/>
        <v>详见附件/桂平金山7月员工工</v>
      </c>
      <c r="I25" s="400">
        <v>44421</v>
      </c>
      <c r="J25" s="390">
        <v>12112.9</v>
      </c>
      <c r="K25" s="258"/>
      <c r="L25" s="400" t="s">
        <v>670</v>
      </c>
      <c r="M25" s="255"/>
      <c r="N25" s="255"/>
      <c r="O25" s="405">
        <f>J25+J26+J27+J28+J29+J30+J31+J32-G25</f>
        <v>0</v>
      </c>
      <c r="P25" s="405">
        <f t="shared" si="2"/>
        <v>0</v>
      </c>
    </row>
    <row r="26" spans="2:16">
      <c r="B26" s="389"/>
      <c r="C26" s="400"/>
      <c r="D26" s="256"/>
      <c r="E26" s="258"/>
      <c r="F26" s="257"/>
      <c r="G26" s="257"/>
      <c r="H26" s="391" t="str">
        <f t="shared" si="0"/>
        <v/>
      </c>
      <c r="I26" s="400">
        <v>44421</v>
      </c>
      <c r="J26" s="390">
        <v>10729.56</v>
      </c>
      <c r="K26" s="258"/>
      <c r="L26" s="400" t="s">
        <v>671</v>
      </c>
      <c r="M26" s="255"/>
      <c r="N26" s="255"/>
      <c r="O26" s="405"/>
      <c r="P26" s="405"/>
    </row>
    <row r="27" spans="2:16">
      <c r="B27" s="389"/>
      <c r="C27" s="400"/>
      <c r="D27" s="256"/>
      <c r="E27" s="258"/>
      <c r="F27" s="257"/>
      <c r="G27" s="257"/>
      <c r="H27" s="391" t="str">
        <f t="shared" si="0"/>
        <v/>
      </c>
      <c r="I27" s="400">
        <v>44421</v>
      </c>
      <c r="J27" s="390">
        <v>14649.85</v>
      </c>
      <c r="K27" s="258"/>
      <c r="L27" s="400" t="s">
        <v>672</v>
      </c>
      <c r="M27" s="255"/>
      <c r="N27" s="255"/>
      <c r="O27" s="405"/>
      <c r="P27" s="405"/>
    </row>
    <row r="28" spans="2:16">
      <c r="B28" s="389"/>
      <c r="C28" s="400"/>
      <c r="D28" s="256"/>
      <c r="E28" s="258"/>
      <c r="F28" s="257"/>
      <c r="G28" s="257"/>
      <c r="H28" s="391" t="str">
        <f t="shared" si="0"/>
        <v/>
      </c>
      <c r="I28" s="400">
        <v>44421</v>
      </c>
      <c r="J28" s="390">
        <v>11697.5</v>
      </c>
      <c r="K28" s="258"/>
      <c r="L28" s="400" t="s">
        <v>673</v>
      </c>
      <c r="M28" s="255"/>
      <c r="N28" s="255"/>
      <c r="O28" s="405"/>
      <c r="P28" s="405"/>
    </row>
    <row r="29" spans="2:16">
      <c r="B29" s="389"/>
      <c r="C29" s="400"/>
      <c r="D29" s="256"/>
      <c r="E29" s="258"/>
      <c r="F29" s="257"/>
      <c r="G29" s="257"/>
      <c r="H29" s="391" t="str">
        <f t="shared" si="0"/>
        <v/>
      </c>
      <c r="I29" s="400">
        <v>44421</v>
      </c>
      <c r="J29" s="390">
        <v>3305.45</v>
      </c>
      <c r="K29" s="258"/>
      <c r="L29" s="400" t="s">
        <v>674</v>
      </c>
      <c r="M29" s="255"/>
      <c r="N29" s="255"/>
      <c r="O29" s="405"/>
      <c r="P29" s="405"/>
    </row>
    <row r="30" spans="2:16">
      <c r="B30" s="389"/>
      <c r="C30" s="400"/>
      <c r="D30" s="256"/>
      <c r="E30" s="258"/>
      <c r="F30" s="257"/>
      <c r="G30" s="257"/>
      <c r="H30" s="391" t="str">
        <f t="shared" si="0"/>
        <v/>
      </c>
      <c r="I30" s="400">
        <v>44421</v>
      </c>
      <c r="J30" s="390">
        <v>11962.26</v>
      </c>
      <c r="K30" s="258"/>
      <c r="L30" s="400" t="s">
        <v>675</v>
      </c>
      <c r="M30" s="255"/>
      <c r="N30" s="255"/>
      <c r="O30" s="405"/>
      <c r="P30" s="405"/>
    </row>
    <row r="31" spans="2:16">
      <c r="B31" s="389"/>
      <c r="C31" s="400"/>
      <c r="D31" s="256"/>
      <c r="E31" s="258"/>
      <c r="F31" s="257"/>
      <c r="G31" s="257"/>
      <c r="H31" s="391" t="str">
        <f t="shared" si="0"/>
        <v/>
      </c>
      <c r="I31" s="400">
        <v>44421</v>
      </c>
      <c r="J31" s="390">
        <v>7460.96</v>
      </c>
      <c r="K31" s="258"/>
      <c r="L31" s="400" t="s">
        <v>676</v>
      </c>
      <c r="M31" s="255"/>
      <c r="N31" s="255"/>
      <c r="O31" s="405"/>
      <c r="P31" s="405"/>
    </row>
    <row r="32" spans="2:16">
      <c r="B32" s="389"/>
      <c r="C32" s="400"/>
      <c r="D32" s="256"/>
      <c r="E32" s="258"/>
      <c r="F32" s="257"/>
      <c r="G32" s="257"/>
      <c r="H32" s="391" t="str">
        <f t="shared" si="0"/>
        <v/>
      </c>
      <c r="I32" s="400">
        <v>44421</v>
      </c>
      <c r="J32" s="390">
        <v>9429.92</v>
      </c>
      <c r="K32" s="258"/>
      <c r="L32" s="400" t="s">
        <v>677</v>
      </c>
      <c r="M32" s="255"/>
      <c r="N32" s="255"/>
      <c r="O32" s="405"/>
      <c r="P32" s="405"/>
    </row>
    <row r="33" spans="2:16">
      <c r="B33" s="389" t="s">
        <v>652</v>
      </c>
      <c r="C33" s="400">
        <v>44512</v>
      </c>
      <c r="D33" s="256" t="s">
        <v>644</v>
      </c>
      <c r="E33" s="258" t="s">
        <v>645</v>
      </c>
      <c r="F33" s="257"/>
      <c r="G33" s="257">
        <v>79399</v>
      </c>
      <c r="H33" s="391" t="str">
        <f t="shared" si="0"/>
        <v>桂平市瑞达电子器材经营部/桂</v>
      </c>
      <c r="I33" s="400">
        <v>44512</v>
      </c>
      <c r="J33" s="390">
        <v>79399</v>
      </c>
      <c r="K33" s="258"/>
      <c r="L33" s="400" t="s">
        <v>612</v>
      </c>
      <c r="M33" s="255"/>
      <c r="N33" s="255"/>
      <c r="O33" s="405">
        <f t="shared" si="1"/>
        <v>0</v>
      </c>
      <c r="P33" s="405">
        <f t="shared" si="2"/>
        <v>0</v>
      </c>
    </row>
    <row r="34" spans="2:16">
      <c r="B34" s="389" t="s">
        <v>652</v>
      </c>
      <c r="C34" s="400">
        <v>44399</v>
      </c>
      <c r="D34" s="256" t="s">
        <v>644</v>
      </c>
      <c r="E34" s="258" t="s">
        <v>646</v>
      </c>
      <c r="F34" s="257"/>
      <c r="G34" s="257">
        <v>77378</v>
      </c>
      <c r="H34" s="391" t="str">
        <f t="shared" si="0"/>
        <v>广西锦玉贸易有限公司/桂平市</v>
      </c>
      <c r="I34" s="400">
        <v>44399</v>
      </c>
      <c r="J34" s="390">
        <v>77378</v>
      </c>
      <c r="K34" s="258"/>
      <c r="L34" s="400" t="s">
        <v>613</v>
      </c>
      <c r="M34" s="255"/>
      <c r="N34" s="255"/>
      <c r="O34" s="405">
        <f t="shared" si="1"/>
        <v>0</v>
      </c>
      <c r="P34" s="405">
        <f t="shared" si="2"/>
        <v>0</v>
      </c>
    </row>
    <row r="35" spans="2:16">
      <c r="B35" s="389" t="s">
        <v>652</v>
      </c>
      <c r="C35" s="400">
        <v>44482</v>
      </c>
      <c r="D35" s="256" t="s">
        <v>647</v>
      </c>
      <c r="E35" s="258" t="s">
        <v>648</v>
      </c>
      <c r="F35" s="257"/>
      <c r="G35" s="257">
        <v>71960</v>
      </c>
      <c r="H35" s="391" t="str">
        <f t="shared" si="0"/>
        <v>贵港市方盛汽车销售服务有限公</v>
      </c>
      <c r="I35" s="400">
        <v>44482</v>
      </c>
      <c r="J35" s="390">
        <v>71960</v>
      </c>
      <c r="K35" s="258"/>
      <c r="L35" s="400" t="s">
        <v>614</v>
      </c>
      <c r="M35" s="255"/>
      <c r="N35" s="255"/>
      <c r="O35" s="405">
        <f t="shared" si="1"/>
        <v>0</v>
      </c>
      <c r="P35" s="405">
        <f t="shared" si="2"/>
        <v>0</v>
      </c>
    </row>
    <row r="36" spans="2:16">
      <c r="B36" s="389" t="s">
        <v>652</v>
      </c>
      <c r="C36" s="400">
        <v>44550</v>
      </c>
      <c r="D36" s="256" t="s">
        <v>659</v>
      </c>
      <c r="E36" s="258" t="s">
        <v>618</v>
      </c>
      <c r="F36" s="257">
        <v>16500000</v>
      </c>
      <c r="G36" s="257"/>
      <c r="H36" s="391" t="str">
        <f>MID(E36,3,17)</f>
        <v>佛山市南海瀚蓝固废处理投资有限公司</v>
      </c>
      <c r="I36" s="400">
        <v>44550</v>
      </c>
      <c r="J36" s="259"/>
      <c r="K36" s="390">
        <v>16500000</v>
      </c>
      <c r="L36" s="390" t="s">
        <v>603</v>
      </c>
      <c r="M36" s="255"/>
      <c r="N36" s="255"/>
      <c r="O36" s="405">
        <f t="shared" si="1"/>
        <v>0</v>
      </c>
      <c r="P36" s="405">
        <f t="shared" si="2"/>
        <v>0</v>
      </c>
    </row>
    <row r="37" spans="2:16">
      <c r="B37" s="389" t="s">
        <v>652</v>
      </c>
      <c r="C37" s="400">
        <v>44392</v>
      </c>
      <c r="D37" s="256" t="s">
        <v>617</v>
      </c>
      <c r="E37" s="258" t="s">
        <v>618</v>
      </c>
      <c r="F37" s="257">
        <v>3000000</v>
      </c>
      <c r="G37" s="257"/>
      <c r="H37" s="391" t="str">
        <f t="shared" ref="H37:H42" si="3">MID(E37,3,17)</f>
        <v>佛山市南海瀚蓝固废处理投资有限公司</v>
      </c>
      <c r="I37" s="400">
        <v>44392</v>
      </c>
      <c r="J37" s="259"/>
      <c r="K37" s="390">
        <v>3000000</v>
      </c>
      <c r="L37" s="257"/>
      <c r="M37" s="255"/>
      <c r="N37" s="255"/>
      <c r="O37" s="405">
        <f t="shared" si="1"/>
        <v>0</v>
      </c>
      <c r="P37" s="405">
        <f t="shared" si="2"/>
        <v>0</v>
      </c>
    </row>
    <row r="38" spans="2:16">
      <c r="B38" s="389" t="s">
        <v>652</v>
      </c>
      <c r="C38" s="400">
        <v>44428</v>
      </c>
      <c r="D38" s="256" t="s">
        <v>619</v>
      </c>
      <c r="E38" s="258" t="s">
        <v>620</v>
      </c>
      <c r="F38" s="257">
        <v>750000</v>
      </c>
      <c r="G38" s="257"/>
      <c r="H38" s="391" t="str">
        <f t="shared" si="3"/>
        <v>广西桂平市城市投资发展有限公司注资</v>
      </c>
      <c r="I38" s="400">
        <v>44428</v>
      </c>
      <c r="J38" s="259"/>
      <c r="K38" s="390">
        <v>750000</v>
      </c>
      <c r="L38" s="257"/>
      <c r="M38" s="255"/>
      <c r="N38" s="255"/>
      <c r="O38" s="405">
        <f t="shared" si="1"/>
        <v>0</v>
      </c>
      <c r="P38" s="405">
        <f t="shared" si="2"/>
        <v>0</v>
      </c>
    </row>
    <row r="39" spans="2:16">
      <c r="B39" s="389" t="s">
        <v>652</v>
      </c>
      <c r="C39" s="400">
        <v>44551</v>
      </c>
      <c r="D39" s="256" t="s">
        <v>660</v>
      </c>
      <c r="E39" s="258" t="s">
        <v>668</v>
      </c>
      <c r="F39" s="257">
        <v>366328.85</v>
      </c>
      <c r="G39" s="257"/>
      <c r="H39" s="391" t="str">
        <f t="shared" si="3"/>
        <v>河北恒生永筑岩土工程勘察有限公司广</v>
      </c>
      <c r="I39" s="400">
        <v>44551</v>
      </c>
      <c r="J39" s="259"/>
      <c r="K39" s="390">
        <v>366328.85</v>
      </c>
      <c r="L39" s="257" t="s">
        <v>680</v>
      </c>
      <c r="M39" s="255"/>
      <c r="N39" s="255"/>
      <c r="O39" s="405">
        <f t="shared" si="1"/>
        <v>0</v>
      </c>
      <c r="P39" s="405">
        <f t="shared" si="2"/>
        <v>0</v>
      </c>
    </row>
    <row r="40" spans="2:16">
      <c r="B40" s="389" t="s">
        <v>652</v>
      </c>
      <c r="C40" s="400">
        <v>44392</v>
      </c>
      <c r="D40" s="256" t="s">
        <v>621</v>
      </c>
      <c r="E40" s="258" t="s">
        <v>622</v>
      </c>
      <c r="F40" s="257">
        <v>300000</v>
      </c>
      <c r="G40" s="257"/>
      <c r="H40" s="391" t="str">
        <f t="shared" si="3"/>
        <v>瀚蓝（厦门）固废处理有限公司往来款</v>
      </c>
      <c r="I40" s="400">
        <v>44392</v>
      </c>
      <c r="J40" s="259"/>
      <c r="K40" s="390">
        <v>300000</v>
      </c>
      <c r="L40" s="257"/>
      <c r="M40" s="255"/>
      <c r="N40" s="255"/>
      <c r="O40" s="405">
        <f t="shared" si="1"/>
        <v>0</v>
      </c>
      <c r="P40" s="405">
        <f t="shared" si="2"/>
        <v>0</v>
      </c>
    </row>
    <row r="41" spans="2:16">
      <c r="B41" s="389" t="s">
        <v>652</v>
      </c>
      <c r="C41" s="400">
        <v>44544</v>
      </c>
      <c r="D41" s="256" t="s">
        <v>619</v>
      </c>
      <c r="E41" s="258" t="s">
        <v>622</v>
      </c>
      <c r="F41" s="257">
        <v>300000</v>
      </c>
      <c r="G41" s="257"/>
      <c r="H41" s="391" t="str">
        <f t="shared" si="3"/>
        <v>瀚蓝（厦门）固废处理有限公司往来款</v>
      </c>
      <c r="I41" s="400">
        <v>44392</v>
      </c>
      <c r="J41" s="259"/>
      <c r="K41" s="390">
        <v>300000</v>
      </c>
      <c r="L41" s="257"/>
      <c r="M41" s="255"/>
      <c r="N41" s="255"/>
      <c r="O41" s="405">
        <f t="shared" si="1"/>
        <v>0</v>
      </c>
      <c r="P41" s="405">
        <f t="shared" si="2"/>
        <v>0</v>
      </c>
    </row>
    <row r="42" spans="2:16">
      <c r="B42" s="389" t="s">
        <v>652</v>
      </c>
      <c r="C42" s="400">
        <v>44537</v>
      </c>
      <c r="D42" s="256" t="s">
        <v>617</v>
      </c>
      <c r="E42" s="258" t="s">
        <v>622</v>
      </c>
      <c r="F42" s="257">
        <v>100000</v>
      </c>
      <c r="G42" s="257"/>
      <c r="H42" s="391" t="str">
        <f t="shared" si="3"/>
        <v>瀚蓝（厦门）固废处理有限公司往来款</v>
      </c>
      <c r="I42" s="400">
        <v>44537</v>
      </c>
      <c r="J42" s="259"/>
      <c r="K42" s="390">
        <v>100000</v>
      </c>
      <c r="L42" s="257"/>
      <c r="M42" s="255"/>
      <c r="N42" s="255"/>
      <c r="O42" s="405">
        <f t="shared" si="1"/>
        <v>0</v>
      </c>
      <c r="P42" s="405">
        <f t="shared" si="2"/>
        <v>0</v>
      </c>
    </row>
    <row r="43" spans="2:16">
      <c r="B43" s="389" t="s">
        <v>652</v>
      </c>
      <c r="C43" s="400">
        <v>44421</v>
      </c>
      <c r="D43" s="256" t="s">
        <v>623</v>
      </c>
      <c r="E43" s="258" t="s">
        <v>624</v>
      </c>
      <c r="F43" s="257">
        <v>77272.639999999999</v>
      </c>
      <c r="G43" s="257"/>
      <c r="H43" s="391"/>
      <c r="I43" s="400">
        <v>44431</v>
      </c>
      <c r="J43" s="259"/>
      <c r="K43" s="390">
        <v>77272.639999999999</v>
      </c>
      <c r="L43" s="257"/>
      <c r="M43" s="255"/>
      <c r="N43" s="255"/>
      <c r="O43" s="405">
        <f t="shared" si="1"/>
        <v>0</v>
      </c>
      <c r="P43" s="405">
        <f t="shared" si="2"/>
        <v>0</v>
      </c>
    </row>
    <row r="44" spans="2:16">
      <c r="B44" s="255"/>
      <c r="C44" s="255"/>
      <c r="D44" s="256"/>
      <c r="E44" s="258"/>
      <c r="F44" s="257"/>
      <c r="G44" s="257"/>
      <c r="H44" s="256"/>
      <c r="I44" s="400"/>
      <c r="J44" s="259"/>
      <c r="K44" s="258"/>
      <c r="L44" s="257"/>
      <c r="M44" s="255"/>
      <c r="N44" s="255"/>
      <c r="O44" s="255"/>
      <c r="P44" s="255"/>
    </row>
    <row r="45" spans="2:16">
      <c r="B45" s="255"/>
      <c r="C45" s="255"/>
      <c r="D45" s="256"/>
      <c r="E45" s="258"/>
      <c r="F45" s="257"/>
      <c r="G45" s="257"/>
      <c r="H45" s="256"/>
      <c r="I45" s="400"/>
      <c r="J45" s="259"/>
      <c r="K45" s="258"/>
      <c r="L45" s="257"/>
      <c r="M45" s="255"/>
      <c r="N45" s="255"/>
      <c r="O45" s="255"/>
      <c r="P45" s="255"/>
    </row>
    <row r="46" spans="2:16" ht="7.75" customHeight="1">
      <c r="B46" s="281"/>
      <c r="C46" s="281"/>
      <c r="D46" s="281"/>
      <c r="E46" s="281"/>
      <c r="F46" s="281"/>
      <c r="G46" s="281"/>
      <c r="H46" s="281"/>
      <c r="I46" s="404"/>
      <c r="J46" s="281"/>
      <c r="K46" s="281"/>
      <c r="L46" s="281"/>
      <c r="M46" s="281"/>
      <c r="N46" s="281"/>
    </row>
    <row r="47" spans="2:16" ht="15" hidden="1" customHeight="1">
      <c r="B47" s="361" t="s">
        <v>513</v>
      </c>
      <c r="C47" s="361"/>
      <c r="D47" s="361"/>
      <c r="E47" s="361"/>
      <c r="F47" s="361"/>
      <c r="G47" s="361"/>
      <c r="H47" s="361"/>
      <c r="I47" s="362" t="s">
        <v>545</v>
      </c>
      <c r="J47" s="362"/>
      <c r="K47" s="362"/>
      <c r="L47" s="362"/>
      <c r="M47" s="363" t="s">
        <v>546</v>
      </c>
      <c r="N47" s="365" t="s">
        <v>526</v>
      </c>
    </row>
    <row r="48" spans="2:16" ht="24" hidden="1" customHeight="1">
      <c r="B48" s="283" t="s">
        <v>550</v>
      </c>
      <c r="C48" s="284" t="s">
        <v>519</v>
      </c>
      <c r="D48" s="284" t="s">
        <v>520</v>
      </c>
      <c r="E48" s="284" t="s">
        <v>521</v>
      </c>
      <c r="F48" s="284" t="s">
        <v>523</v>
      </c>
      <c r="G48" s="284" t="s">
        <v>524</v>
      </c>
      <c r="H48" s="285" t="s">
        <v>522</v>
      </c>
      <c r="I48" s="403" t="s">
        <v>515</v>
      </c>
      <c r="J48" s="286" t="s">
        <v>516</v>
      </c>
      <c r="K48" s="286" t="s">
        <v>517</v>
      </c>
      <c r="L48" s="286" t="s">
        <v>518</v>
      </c>
      <c r="M48" s="364"/>
      <c r="N48" s="366"/>
    </row>
    <row r="49" spans="2:14" hidden="1">
      <c r="B49" s="255" t="s">
        <v>547</v>
      </c>
      <c r="C49" s="255"/>
      <c r="D49" s="256"/>
      <c r="E49" s="258"/>
      <c r="F49" s="257"/>
      <c r="G49" s="257"/>
      <c r="H49" s="256"/>
      <c r="I49" s="400"/>
      <c r="J49" s="259"/>
      <c r="K49" s="258"/>
      <c r="L49" s="257"/>
      <c r="M49" s="255"/>
      <c r="N49" s="255"/>
    </row>
    <row r="50" spans="2:14" hidden="1">
      <c r="B50" s="255"/>
      <c r="C50" s="255"/>
      <c r="D50" s="256"/>
      <c r="E50" s="258"/>
      <c r="F50" s="257"/>
      <c r="G50" s="257"/>
      <c r="H50" s="256"/>
      <c r="I50" s="400"/>
      <c r="J50" s="259"/>
      <c r="K50" s="258"/>
      <c r="L50" s="257"/>
      <c r="M50" s="255"/>
      <c r="N50" s="255"/>
    </row>
    <row r="51" spans="2:14" hidden="1">
      <c r="B51" s="255"/>
      <c r="C51" s="255"/>
      <c r="D51" s="256"/>
      <c r="E51" s="258"/>
      <c r="F51" s="257"/>
      <c r="G51" s="257"/>
      <c r="H51" s="256"/>
      <c r="I51" s="400"/>
      <c r="J51" s="259"/>
      <c r="K51" s="258"/>
      <c r="L51" s="257"/>
      <c r="M51" s="255"/>
      <c r="N51" s="255"/>
    </row>
    <row r="52" spans="2:14" ht="7.75" customHeight="1">
      <c r="B52" s="281"/>
      <c r="C52" s="281"/>
      <c r="D52" s="281"/>
      <c r="E52" s="281"/>
      <c r="F52" s="281"/>
      <c r="G52" s="281"/>
      <c r="H52" s="281"/>
      <c r="I52" s="404"/>
      <c r="J52" s="281"/>
      <c r="K52" s="281"/>
      <c r="L52" s="281"/>
      <c r="M52" s="281"/>
      <c r="N52" s="281"/>
    </row>
    <row r="53" spans="2:14" ht="18" customHeight="1">
      <c r="B53" s="187" t="s">
        <v>551</v>
      </c>
      <c r="C53" s="281"/>
      <c r="D53" s="281"/>
      <c r="E53" s="281"/>
      <c r="F53" s="281"/>
      <c r="G53" s="281"/>
      <c r="H53" s="281"/>
      <c r="I53" s="404"/>
      <c r="J53" s="281"/>
      <c r="K53" s="281"/>
      <c r="L53" s="281"/>
      <c r="M53" s="281"/>
      <c r="N53" s="281"/>
    </row>
    <row r="54" spans="2:14" s="287" customFormat="1" ht="15" customHeight="1">
      <c r="B54" s="352" t="s">
        <v>548</v>
      </c>
      <c r="C54" s="353"/>
      <c r="D54" s="353"/>
      <c r="E54" s="353"/>
      <c r="F54" s="353"/>
      <c r="G54" s="353"/>
      <c r="H54" s="353"/>
      <c r="I54" s="353"/>
      <c r="J54" s="353"/>
      <c r="K54" s="353"/>
      <c r="L54" s="353"/>
      <c r="M54" s="353"/>
      <c r="N54" s="354"/>
    </row>
    <row r="55" spans="2:14" s="287" customFormat="1" ht="15" customHeight="1">
      <c r="B55" s="355" t="s">
        <v>549</v>
      </c>
      <c r="C55" s="356"/>
      <c r="D55" s="356"/>
      <c r="E55" s="356"/>
      <c r="F55" s="356"/>
      <c r="G55" s="356"/>
      <c r="H55" s="356"/>
      <c r="I55" s="356"/>
      <c r="J55" s="356"/>
      <c r="K55" s="356"/>
      <c r="L55" s="356"/>
      <c r="M55" s="356"/>
      <c r="N55" s="357"/>
    </row>
    <row r="56" spans="2:14" s="287" customFormat="1" ht="15" customHeight="1">
      <c r="B56" s="358" t="s">
        <v>558</v>
      </c>
      <c r="C56" s="359"/>
      <c r="D56" s="359"/>
      <c r="E56" s="359"/>
      <c r="F56" s="359"/>
      <c r="G56" s="359"/>
      <c r="H56" s="359"/>
      <c r="I56" s="359"/>
      <c r="J56" s="359"/>
      <c r="K56" s="359"/>
      <c r="L56" s="359"/>
      <c r="M56" s="359"/>
      <c r="N56" s="360"/>
    </row>
    <row r="57" spans="2:14" ht="9" customHeight="1">
      <c r="B57" s="282"/>
      <c r="C57" s="281"/>
      <c r="D57" s="281"/>
      <c r="E57" s="281"/>
      <c r="F57" s="281"/>
      <c r="G57" s="281"/>
      <c r="H57" s="281"/>
      <c r="I57" s="404"/>
      <c r="J57" s="281"/>
      <c r="K57" s="281"/>
      <c r="L57" s="281"/>
      <c r="M57" s="281"/>
      <c r="N57" s="281"/>
    </row>
    <row r="58" spans="2:14">
      <c r="B58" s="179" t="s">
        <v>446</v>
      </c>
      <c r="C58" s="178"/>
    </row>
    <row r="59" spans="2:14" ht="19.75" customHeight="1">
      <c r="B59" s="302" t="s">
        <v>593</v>
      </c>
      <c r="C59" s="302"/>
      <c r="D59" s="302"/>
      <c r="E59" s="302"/>
      <c r="F59" s="302"/>
    </row>
  </sheetData>
  <mergeCells count="13">
    <mergeCell ref="O4:P5"/>
    <mergeCell ref="B54:N54"/>
    <mergeCell ref="B55:N55"/>
    <mergeCell ref="B56:N56"/>
    <mergeCell ref="B59:F59"/>
    <mergeCell ref="B4:H4"/>
    <mergeCell ref="I4:L4"/>
    <mergeCell ref="B47:H47"/>
    <mergeCell ref="M4:M5"/>
    <mergeCell ref="N4:N5"/>
    <mergeCell ref="I47:L47"/>
    <mergeCell ref="M47:M48"/>
    <mergeCell ref="N47:N48"/>
  </mergeCells>
  <phoneticPr fontId="1" type="noConversion"/>
  <dataValidations count="1">
    <dataValidation type="list" allowBlank="1" showInputMessage="1" showErrorMessage="1" sqref="B59" xr:uid="{CDF40E28-2B3A-43D9-A9BA-C96E21D7FD78}">
      <formula1>"未执行,已执行"</formula1>
    </dataValidation>
  </dataValidations>
  <hyperlinks>
    <hyperlink ref="A1" location="index!A1" tooltip="单击此处将定位到表[index]" display="&lt;&lt;" xr:uid="{2FEE6C26-2FFF-4744-9FD1-42CFFA7C0902}"/>
  </hyperlinks>
  <printOptions horizontalCentered="1"/>
  <pageMargins left="0.78740157480314965" right="0.19685039370078741" top="0.78740157480314965" bottom="0.39370078740157483" header="0" footer="0"/>
  <pageSetup paperSize="9" scale="80" fitToHeight="0"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7030A0"/>
    <pageSetUpPr fitToPage="1"/>
  </sheetPr>
  <dimension ref="A1:N177"/>
  <sheetViews>
    <sheetView workbookViewId="0"/>
  </sheetViews>
  <sheetFormatPr defaultColWidth="9" defaultRowHeight="13"/>
  <cols>
    <col min="1" max="1" width="7.33203125" style="38" customWidth="1"/>
    <col min="2" max="2" width="19.58203125" style="50" customWidth="1"/>
    <col min="3" max="3" width="3.83203125" style="38" customWidth="1"/>
    <col min="4" max="4" width="41" style="38" customWidth="1"/>
    <col min="5" max="5" width="11.08203125" style="38" customWidth="1"/>
    <col min="6" max="6" width="9" style="38"/>
    <col min="7" max="7" width="34.58203125" style="38" customWidth="1"/>
    <col min="8" max="13" width="9" style="38"/>
    <col min="14" max="14" width="9" style="38" hidden="1" customWidth="1"/>
    <col min="15" max="16384" width="9" style="38"/>
  </cols>
  <sheetData>
    <row r="1" spans="1:14" s="37" customFormat="1" ht="30" customHeight="1">
      <c r="A1" s="35" t="s">
        <v>177</v>
      </c>
      <c r="B1" s="36"/>
    </row>
    <row r="2" spans="1:14" ht="6" customHeight="1">
      <c r="B2" s="39"/>
    </row>
    <row r="3" spans="1:14" ht="15" customHeight="1">
      <c r="A3" s="368" t="s">
        <v>106</v>
      </c>
      <c r="B3" s="368"/>
      <c r="C3" s="368"/>
      <c r="D3" s="367"/>
      <c r="E3" s="367"/>
      <c r="F3" s="367"/>
      <c r="G3" s="40"/>
    </row>
    <row r="4" spans="1:14" ht="11.25" customHeight="1">
      <c r="A4" s="41" t="s">
        <v>10</v>
      </c>
      <c r="B4" s="41" t="s">
        <v>6</v>
      </c>
      <c r="C4" s="41"/>
      <c r="D4" s="42" t="s">
        <v>161</v>
      </c>
      <c r="E4" s="43" t="s">
        <v>7</v>
      </c>
      <c r="F4" s="42" t="s">
        <v>166</v>
      </c>
      <c r="G4" s="42" t="s">
        <v>167</v>
      </c>
    </row>
    <row r="5" spans="1:14" ht="11.25" customHeight="1">
      <c r="A5" s="44" t="s">
        <v>169</v>
      </c>
      <c r="B5" s="45" t="s">
        <v>11</v>
      </c>
      <c r="C5" s="46"/>
      <c r="D5" s="47" t="s">
        <v>162</v>
      </c>
      <c r="E5" s="47" t="s">
        <v>230</v>
      </c>
      <c r="F5" s="48" t="s">
        <v>120</v>
      </c>
      <c r="G5" s="49" t="s">
        <v>121</v>
      </c>
      <c r="H5" s="49"/>
      <c r="N5" s="50" t="str">
        <f>A5&amp;B5</f>
        <v>A01库存现金</v>
      </c>
    </row>
    <row r="6" spans="1:14" ht="11.25" customHeight="1">
      <c r="A6" s="44" t="s">
        <v>169</v>
      </c>
      <c r="B6" s="45" t="s">
        <v>4</v>
      </c>
      <c r="C6" s="46"/>
      <c r="D6" s="47" t="s">
        <v>163</v>
      </c>
      <c r="E6" s="47" t="s">
        <v>240</v>
      </c>
      <c r="F6" s="51" t="s">
        <v>122</v>
      </c>
      <c r="G6" s="49" t="s">
        <v>123</v>
      </c>
      <c r="H6" s="49"/>
      <c r="N6" s="50" t="str">
        <f>A6&amp;B6</f>
        <v>A01银行存款</v>
      </c>
    </row>
    <row r="7" spans="1:14" ht="11.25" customHeight="1">
      <c r="A7" s="44" t="s">
        <v>169</v>
      </c>
      <c r="B7" s="45" t="s">
        <v>5</v>
      </c>
      <c r="C7" s="46"/>
      <c r="D7" s="47" t="s">
        <v>164</v>
      </c>
      <c r="E7" s="5"/>
      <c r="F7" s="51" t="s">
        <v>124</v>
      </c>
      <c r="G7" s="49" t="s">
        <v>125</v>
      </c>
      <c r="H7" s="49"/>
      <c r="N7" s="50" t="str">
        <f>A7&amp;B7</f>
        <v>A01其他货币资金</v>
      </c>
    </row>
    <row r="8" spans="1:14" ht="11.25" customHeight="1">
      <c r="A8" s="44" t="s">
        <v>169</v>
      </c>
      <c r="B8" s="66" t="s">
        <v>249</v>
      </c>
      <c r="C8" s="44"/>
      <c r="D8" s="47" t="s">
        <v>165</v>
      </c>
      <c r="E8" s="52"/>
      <c r="F8" s="51" t="s">
        <v>126</v>
      </c>
      <c r="G8" s="49" t="s">
        <v>127</v>
      </c>
      <c r="H8" s="49"/>
      <c r="N8" s="50" t="e">
        <f>A8&amp;#REF!</f>
        <v>#REF!</v>
      </c>
    </row>
    <row r="9" spans="1:14" ht="11.25" customHeight="1">
      <c r="A9" s="44"/>
      <c r="B9" s="66" t="s">
        <v>250</v>
      </c>
      <c r="C9" s="44"/>
      <c r="D9" s="53" t="s">
        <v>234</v>
      </c>
      <c r="E9" s="54"/>
      <c r="F9" s="55" t="s">
        <v>128</v>
      </c>
      <c r="G9" s="56" t="s">
        <v>129</v>
      </c>
      <c r="H9" s="56"/>
      <c r="I9" s="57"/>
      <c r="J9" s="57"/>
      <c r="K9" s="57"/>
      <c r="N9" s="50" t="str">
        <f t="shared" ref="N9:N15" si="0">A13&amp;B13</f>
        <v>A02交易性金融资产</v>
      </c>
    </row>
    <row r="10" spans="1:14" ht="11.25" customHeight="1">
      <c r="A10" s="44"/>
      <c r="B10" s="66" t="s">
        <v>251</v>
      </c>
      <c r="C10" s="44"/>
      <c r="D10" s="58" t="s">
        <v>168</v>
      </c>
      <c r="E10" s="59"/>
      <c r="F10" s="51" t="s">
        <v>130</v>
      </c>
      <c r="G10" s="49" t="s">
        <v>131</v>
      </c>
      <c r="H10" s="49"/>
      <c r="N10" s="50" t="str">
        <f t="shared" si="0"/>
        <v>A03应收票据</v>
      </c>
    </row>
    <row r="11" spans="1:14" ht="11.25" customHeight="1">
      <c r="A11" s="44"/>
      <c r="B11" s="46" t="s">
        <v>252</v>
      </c>
      <c r="C11" s="44"/>
      <c r="D11" s="5" t="s">
        <v>225</v>
      </c>
      <c r="F11" s="51" t="s">
        <v>132</v>
      </c>
      <c r="G11" s="49" t="s">
        <v>133</v>
      </c>
      <c r="H11" s="49"/>
      <c r="N11" s="50" t="str">
        <f t="shared" si="0"/>
        <v>A03应收票据坏账准备</v>
      </c>
    </row>
    <row r="12" spans="1:14" ht="11.25" customHeight="1">
      <c r="A12" s="44"/>
      <c r="B12" s="46" t="s">
        <v>253</v>
      </c>
      <c r="C12" s="44"/>
      <c r="D12" s="3" t="s">
        <v>226</v>
      </c>
      <c r="F12" s="51" t="s">
        <v>134</v>
      </c>
      <c r="G12" s="49" t="s">
        <v>135</v>
      </c>
      <c r="H12" s="49"/>
      <c r="N12" s="50" t="str">
        <f t="shared" si="0"/>
        <v>A04应收账款</v>
      </c>
    </row>
    <row r="13" spans="1:14" ht="11.25" customHeight="1">
      <c r="A13" s="60" t="s">
        <v>232</v>
      </c>
      <c r="B13" s="46" t="s">
        <v>233</v>
      </c>
      <c r="C13" s="46"/>
      <c r="D13" s="3" t="s">
        <v>227</v>
      </c>
      <c r="F13" s="51" t="s">
        <v>136</v>
      </c>
      <c r="G13" s="49" t="s">
        <v>137</v>
      </c>
      <c r="H13" s="49"/>
      <c r="N13" s="50" t="str">
        <f t="shared" si="0"/>
        <v>A04应收账款坏账准备</v>
      </c>
    </row>
    <row r="14" spans="1:14" ht="11.25" customHeight="1">
      <c r="A14" s="44" t="s">
        <v>170</v>
      </c>
      <c r="B14" s="45" t="s">
        <v>12</v>
      </c>
      <c r="C14" s="46"/>
      <c r="E14" s="61"/>
      <c r="F14" s="51" t="s">
        <v>138</v>
      </c>
      <c r="G14" s="49" t="s">
        <v>139</v>
      </c>
      <c r="H14" s="49"/>
      <c r="N14" s="50" t="str">
        <f t="shared" si="0"/>
        <v>A05预付账款</v>
      </c>
    </row>
    <row r="15" spans="1:14" ht="11.25" customHeight="1">
      <c r="A15" s="44" t="s">
        <v>170</v>
      </c>
      <c r="B15" s="45" t="s">
        <v>13</v>
      </c>
      <c r="C15" s="46"/>
      <c r="E15" s="61"/>
      <c r="F15" s="62" t="s">
        <v>140</v>
      </c>
      <c r="G15" s="49" t="s">
        <v>141</v>
      </c>
      <c r="H15" s="49"/>
      <c r="N15" s="50" t="str">
        <f t="shared" si="0"/>
        <v>A05预付账款坏账准备</v>
      </c>
    </row>
    <row r="16" spans="1:14" ht="11.25" customHeight="1">
      <c r="A16" s="44" t="s">
        <v>171</v>
      </c>
      <c r="B16" s="45" t="s">
        <v>14</v>
      </c>
      <c r="C16" s="46"/>
      <c r="E16" s="61"/>
      <c r="F16" s="51" t="s">
        <v>3</v>
      </c>
      <c r="G16" s="49" t="s">
        <v>142</v>
      </c>
      <c r="H16" s="49"/>
      <c r="N16" s="50" t="str">
        <f>A26&amp;B26</f>
        <v>A08其他应收款</v>
      </c>
    </row>
    <row r="17" spans="1:14" ht="11.25" customHeight="1">
      <c r="A17" s="44" t="s">
        <v>171</v>
      </c>
      <c r="B17" s="45" t="s">
        <v>15</v>
      </c>
      <c r="C17" s="46"/>
      <c r="E17" s="61"/>
      <c r="F17" s="62" t="s">
        <v>143</v>
      </c>
      <c r="G17" s="49" t="s">
        <v>144</v>
      </c>
      <c r="H17" s="49"/>
      <c r="N17" s="50" t="str">
        <f>A27&amp;B27</f>
        <v>A08其他应收款坏账准备</v>
      </c>
    </row>
    <row r="18" spans="1:14" ht="11.25" customHeight="1">
      <c r="A18" s="44" t="s">
        <v>172</v>
      </c>
      <c r="B18" s="45" t="s">
        <v>16</v>
      </c>
      <c r="C18" s="46"/>
      <c r="E18" s="61"/>
      <c r="F18" s="51" t="s">
        <v>145</v>
      </c>
      <c r="G18" s="49" t="s">
        <v>146</v>
      </c>
      <c r="H18" s="49"/>
      <c r="N18" s="50" t="str">
        <f>A25&amp;B25</f>
        <v>A07应收股利</v>
      </c>
    </row>
    <row r="19" spans="1:14" ht="11.25" customHeight="1">
      <c r="A19" s="44" t="s">
        <v>172</v>
      </c>
      <c r="B19" s="45" t="s">
        <v>17</v>
      </c>
      <c r="C19" s="46"/>
      <c r="F19" s="51" t="s">
        <v>147</v>
      </c>
      <c r="G19" s="49" t="s">
        <v>148</v>
      </c>
      <c r="H19" s="49"/>
      <c r="N19" s="50" t="str">
        <f>A24&amp;B24</f>
        <v>A06应收利息</v>
      </c>
    </row>
    <row r="20" spans="1:14" ht="11.25" customHeight="1">
      <c r="A20" s="44"/>
      <c r="B20" s="46" t="s">
        <v>254</v>
      </c>
      <c r="C20" s="46"/>
      <c r="F20" s="62" t="s">
        <v>149</v>
      </c>
      <c r="G20" s="49" t="s">
        <v>150</v>
      </c>
      <c r="H20" s="49"/>
      <c r="N20" s="50" t="str">
        <f>A29&amp;B29</f>
        <v>A09存货</v>
      </c>
    </row>
    <row r="21" spans="1:14" ht="11.25" customHeight="1">
      <c r="A21" s="44"/>
      <c r="B21" s="46" t="s">
        <v>255</v>
      </c>
      <c r="C21" s="46"/>
      <c r="F21" s="51" t="s">
        <v>151</v>
      </c>
      <c r="G21" s="49" t="s">
        <v>152</v>
      </c>
      <c r="H21" s="49"/>
      <c r="N21" s="50" t="str">
        <f>A30&amp;B30</f>
        <v>A09存货跌价准备</v>
      </c>
    </row>
    <row r="22" spans="1:14" ht="11.25" customHeight="1">
      <c r="A22" s="44"/>
      <c r="B22" s="46" t="s">
        <v>256</v>
      </c>
      <c r="C22" s="46"/>
      <c r="F22" s="51" t="s">
        <v>153</v>
      </c>
      <c r="G22" s="49" t="s">
        <v>154</v>
      </c>
      <c r="H22" s="49"/>
      <c r="N22" s="50" t="str">
        <f>A31&amp;B31</f>
        <v>A13一年内到期的非流动资产</v>
      </c>
    </row>
    <row r="23" spans="1:14" ht="11.25" customHeight="1">
      <c r="A23" s="44"/>
      <c r="B23" s="46" t="s">
        <v>257</v>
      </c>
      <c r="C23" s="46"/>
      <c r="F23" s="62" t="s">
        <v>155</v>
      </c>
      <c r="G23" s="49" t="s">
        <v>156</v>
      </c>
      <c r="H23" s="49"/>
      <c r="N23" s="50" t="str">
        <f>A32&amp;B32</f>
        <v>A12其他流动资产</v>
      </c>
    </row>
    <row r="24" spans="1:14" ht="11.25" customHeight="1">
      <c r="A24" s="44" t="s">
        <v>174</v>
      </c>
      <c r="B24" s="45" t="s">
        <v>21</v>
      </c>
      <c r="C24" s="46"/>
      <c r="F24" s="51" t="s">
        <v>157</v>
      </c>
      <c r="G24" s="49" t="s">
        <v>158</v>
      </c>
      <c r="H24" s="49"/>
      <c r="N24" s="50" t="str">
        <f>A33&amp;B33</f>
        <v>A21待摊费用</v>
      </c>
    </row>
    <row r="25" spans="1:14" ht="11.25" customHeight="1">
      <c r="A25" s="44" t="s">
        <v>175</v>
      </c>
      <c r="B25" s="45" t="s">
        <v>20</v>
      </c>
      <c r="C25" s="46"/>
      <c r="F25" s="51" t="s">
        <v>159</v>
      </c>
      <c r="G25" s="49" t="s">
        <v>160</v>
      </c>
      <c r="H25" s="49"/>
      <c r="N25" s="50" t="e">
        <f>A34&amp;#REF!</f>
        <v>#REF!</v>
      </c>
    </row>
    <row r="26" spans="1:14" ht="11.25" customHeight="1">
      <c r="A26" s="44" t="s">
        <v>173</v>
      </c>
      <c r="B26" s="45" t="s">
        <v>18</v>
      </c>
      <c r="C26" s="46"/>
      <c r="N26" s="50" t="e">
        <f>A35&amp;#REF!</f>
        <v>#REF!</v>
      </c>
    </row>
    <row r="27" spans="1:14" ht="11.25" customHeight="1">
      <c r="A27" s="44" t="s">
        <v>173</v>
      </c>
      <c r="B27" s="45" t="s">
        <v>19</v>
      </c>
      <c r="C27" s="46"/>
      <c r="N27" s="50" t="e">
        <f>A36&amp;#REF!</f>
        <v>#REF!</v>
      </c>
    </row>
    <row r="28" spans="1:14" ht="11.25" customHeight="1">
      <c r="A28" s="44"/>
      <c r="B28" s="46" t="s">
        <v>258</v>
      </c>
      <c r="C28" s="44"/>
      <c r="N28" s="50" t="e">
        <f>A37&amp;#REF!</f>
        <v>#REF!</v>
      </c>
    </row>
    <row r="29" spans="1:14" ht="11.25" customHeight="1">
      <c r="A29" s="44" t="s">
        <v>176</v>
      </c>
      <c r="B29" s="45" t="s">
        <v>22</v>
      </c>
      <c r="C29" s="46"/>
      <c r="N29" s="50" t="str">
        <f t="shared" ref="N29:N34" si="1">A41&amp;B41</f>
        <v>B01可供出售金融资产</v>
      </c>
    </row>
    <row r="30" spans="1:14" ht="11.25" customHeight="1">
      <c r="A30" s="44" t="s">
        <v>176</v>
      </c>
      <c r="B30" s="45" t="s">
        <v>23</v>
      </c>
      <c r="C30" s="46"/>
      <c r="N30" s="50" t="str">
        <f t="shared" si="1"/>
        <v>B01可供出售金融资产减值准备</v>
      </c>
    </row>
    <row r="31" spans="1:14" ht="11.25" customHeight="1">
      <c r="A31" s="63" t="s">
        <v>115</v>
      </c>
      <c r="B31" s="45" t="s">
        <v>24</v>
      </c>
      <c r="C31" s="46"/>
      <c r="N31" s="50" t="str">
        <f t="shared" si="1"/>
        <v>B02持有至到期投资</v>
      </c>
    </row>
    <row r="32" spans="1:14" ht="11.25" customHeight="1">
      <c r="A32" s="63" t="s">
        <v>108</v>
      </c>
      <c r="B32" s="45" t="s">
        <v>25</v>
      </c>
      <c r="C32" s="46"/>
      <c r="N32" s="50" t="str">
        <f t="shared" si="1"/>
        <v>B02持有至到期投资减值准备</v>
      </c>
    </row>
    <row r="33" spans="1:14" s="61" customFormat="1" ht="11.25" customHeight="1">
      <c r="A33" s="44" t="s">
        <v>202</v>
      </c>
      <c r="B33" s="45" t="s">
        <v>235</v>
      </c>
      <c r="C33" s="46"/>
      <c r="N33" s="64" t="str">
        <f t="shared" si="1"/>
        <v>B03长期应收款</v>
      </c>
    </row>
    <row r="34" spans="1:14" s="61" customFormat="1" ht="11.25" customHeight="1">
      <c r="A34" s="44"/>
      <c r="B34" s="66" t="s">
        <v>259</v>
      </c>
      <c r="C34" s="44"/>
      <c r="N34" s="64" t="str">
        <f t="shared" si="1"/>
        <v>B03长期应收款坏账准备</v>
      </c>
    </row>
    <row r="35" spans="1:14" ht="11.25" customHeight="1">
      <c r="A35" s="44"/>
      <c r="B35" s="66" t="s">
        <v>260</v>
      </c>
      <c r="C35" s="44"/>
      <c r="N35" s="50" t="str">
        <f t="shared" ref="N35:N50" si="2">A48&amp;B48</f>
        <v>B04长期股权投资</v>
      </c>
    </row>
    <row r="36" spans="1:14" ht="11.25" customHeight="1">
      <c r="A36" s="44"/>
      <c r="B36" s="66" t="s">
        <v>261</v>
      </c>
      <c r="C36" s="44"/>
      <c r="N36" s="50" t="str">
        <f t="shared" si="2"/>
        <v>B04长期股权投资减值准备</v>
      </c>
    </row>
    <row r="37" spans="1:14" s="61" customFormat="1" ht="11.25" customHeight="1">
      <c r="A37" s="44"/>
      <c r="B37" s="66" t="s">
        <v>262</v>
      </c>
      <c r="C37" s="44"/>
      <c r="N37" s="64" t="str">
        <f t="shared" si="2"/>
        <v>B05投资性房地产</v>
      </c>
    </row>
    <row r="38" spans="1:14" s="61" customFormat="1" ht="11.25" customHeight="1">
      <c r="A38" s="44"/>
      <c r="B38" s="66" t="s">
        <v>263</v>
      </c>
      <c r="C38" s="44"/>
      <c r="N38" s="64" t="str">
        <f t="shared" si="2"/>
        <v>B05投资性房地产累计折旧</v>
      </c>
    </row>
    <row r="39" spans="1:14" s="61" customFormat="1" ht="11.25" customHeight="1">
      <c r="A39" s="44"/>
      <c r="B39" s="46" t="s">
        <v>264</v>
      </c>
      <c r="C39" s="44"/>
      <c r="N39" s="64" t="str">
        <f t="shared" si="2"/>
        <v>B05投资性房地产减值准备</v>
      </c>
    </row>
    <row r="40" spans="1:14" ht="11.25" customHeight="1">
      <c r="A40" s="44"/>
      <c r="B40" s="46" t="s">
        <v>265</v>
      </c>
      <c r="C40" s="44"/>
      <c r="N40" s="50" t="str">
        <f t="shared" si="2"/>
        <v>C01固定资产</v>
      </c>
    </row>
    <row r="41" spans="1:14" ht="11.25" customHeight="1">
      <c r="A41" s="44" t="s">
        <v>178</v>
      </c>
      <c r="B41" s="45" t="s">
        <v>26</v>
      </c>
      <c r="C41" s="46"/>
      <c r="N41" s="50" t="str">
        <f t="shared" si="2"/>
        <v>C01固定资产累计折旧</v>
      </c>
    </row>
    <row r="42" spans="1:14" ht="11.25" customHeight="1">
      <c r="A42" s="44" t="s">
        <v>178</v>
      </c>
      <c r="B42" s="45" t="s">
        <v>27</v>
      </c>
      <c r="C42" s="46"/>
      <c r="N42" s="50" t="str">
        <f t="shared" si="2"/>
        <v>C01固定资产减值准备</v>
      </c>
    </row>
    <row r="43" spans="1:14" ht="11.25" customHeight="1">
      <c r="A43" s="44" t="s">
        <v>179</v>
      </c>
      <c r="B43" s="45" t="s">
        <v>28</v>
      </c>
      <c r="C43" s="46"/>
      <c r="N43" s="50" t="str">
        <f t="shared" si="2"/>
        <v>C04在建工程</v>
      </c>
    </row>
    <row r="44" spans="1:14" ht="11.25" customHeight="1">
      <c r="A44" s="44" t="s">
        <v>179</v>
      </c>
      <c r="B44" s="45" t="s">
        <v>29</v>
      </c>
      <c r="C44" s="46"/>
      <c r="N44" s="50" t="str">
        <f t="shared" si="2"/>
        <v>C04在建工程减值准备</v>
      </c>
    </row>
    <row r="45" spans="1:14" ht="11.25" customHeight="1">
      <c r="A45" s="44" t="s">
        <v>180</v>
      </c>
      <c r="B45" s="45" t="s">
        <v>30</v>
      </c>
      <c r="C45" s="46"/>
      <c r="N45" s="50" t="str">
        <f t="shared" si="2"/>
        <v>C03工程物资</v>
      </c>
    </row>
    <row r="46" spans="1:14" ht="11.25" customHeight="1">
      <c r="A46" s="44" t="s">
        <v>180</v>
      </c>
      <c r="B46" s="45" t="s">
        <v>31</v>
      </c>
      <c r="C46" s="46"/>
      <c r="N46" s="50" t="str">
        <f t="shared" si="2"/>
        <v>C03工程物资减值准备</v>
      </c>
    </row>
    <row r="47" spans="1:14" ht="11.25" customHeight="1">
      <c r="A47" s="63" t="s">
        <v>180</v>
      </c>
      <c r="B47" s="46" t="s">
        <v>266</v>
      </c>
      <c r="C47" s="44"/>
      <c r="N47" s="50" t="str">
        <f t="shared" si="2"/>
        <v>C02固定资产清理</v>
      </c>
    </row>
    <row r="48" spans="1:14" ht="11.25" customHeight="1">
      <c r="A48" s="44" t="s">
        <v>181</v>
      </c>
      <c r="B48" s="45" t="s">
        <v>32</v>
      </c>
      <c r="C48" s="46"/>
      <c r="N48" s="50" t="str">
        <f t="shared" si="2"/>
        <v>C05生产性生物资产</v>
      </c>
    </row>
    <row r="49" spans="1:14" ht="11.25" customHeight="1">
      <c r="A49" s="44" t="s">
        <v>181</v>
      </c>
      <c r="B49" s="45" t="s">
        <v>33</v>
      </c>
      <c r="C49" s="46"/>
      <c r="N49" s="50" t="str">
        <f t="shared" si="2"/>
        <v>C05生产性生物资产累计折旧</v>
      </c>
    </row>
    <row r="50" spans="1:14" ht="11.25" customHeight="1">
      <c r="A50" s="44" t="s">
        <v>182</v>
      </c>
      <c r="B50" s="45" t="s">
        <v>34</v>
      </c>
      <c r="C50" s="46"/>
      <c r="N50" s="50" t="str">
        <f t="shared" si="2"/>
        <v>C05生产性生物资产减值准备</v>
      </c>
    </row>
    <row r="51" spans="1:14" ht="11.25" customHeight="1">
      <c r="A51" s="44" t="s">
        <v>182</v>
      </c>
      <c r="B51" s="45" t="s">
        <v>35</v>
      </c>
      <c r="C51" s="46"/>
      <c r="N51" s="50" t="str">
        <f>A66&amp;B66</f>
        <v>D01无形资产</v>
      </c>
    </row>
    <row r="52" spans="1:14" ht="11.25" customHeight="1">
      <c r="A52" s="44" t="s">
        <v>182</v>
      </c>
      <c r="B52" s="45" t="s">
        <v>36</v>
      </c>
      <c r="C52" s="46"/>
      <c r="N52" s="50" t="str">
        <f>A67&amp;B67</f>
        <v>D01无形资产累计摊销</v>
      </c>
    </row>
    <row r="53" spans="1:14" ht="11.25" customHeight="1">
      <c r="A53" s="44" t="s">
        <v>183</v>
      </c>
      <c r="B53" s="45" t="s">
        <v>37</v>
      </c>
      <c r="C53" s="46"/>
      <c r="N53" s="50" t="str">
        <f>A68&amp;B68</f>
        <v>D01无形资产减值准备</v>
      </c>
    </row>
    <row r="54" spans="1:14" ht="11.25" customHeight="1">
      <c r="A54" s="44" t="s">
        <v>183</v>
      </c>
      <c r="B54" s="45" t="s">
        <v>38</v>
      </c>
      <c r="C54" s="46"/>
      <c r="N54" s="50" t="str">
        <f>A70&amp;B70</f>
        <v>D02商誉</v>
      </c>
    </row>
    <row r="55" spans="1:14" ht="11.25" customHeight="1">
      <c r="A55" s="44" t="s">
        <v>183</v>
      </c>
      <c r="B55" s="45" t="s">
        <v>39</v>
      </c>
      <c r="C55" s="46"/>
      <c r="N55" s="50" t="str">
        <f>A71&amp;B71</f>
        <v>D02商誉减值准备</v>
      </c>
    </row>
    <row r="56" spans="1:14" s="61" customFormat="1" ht="11.25" customHeight="1">
      <c r="A56" s="44" t="s">
        <v>184</v>
      </c>
      <c r="B56" s="45" t="s">
        <v>40</v>
      </c>
      <c r="C56" s="46"/>
      <c r="N56" s="64" t="str">
        <f>A72&amp;B72</f>
        <v>E01长期待摊费用</v>
      </c>
    </row>
    <row r="57" spans="1:14" ht="11.25" customHeight="1">
      <c r="A57" s="44" t="s">
        <v>184</v>
      </c>
      <c r="B57" s="45" t="s">
        <v>41</v>
      </c>
      <c r="C57" s="46"/>
      <c r="N57" s="50" t="str">
        <f>A73&amp;B73</f>
        <v>E02递延所得税资产</v>
      </c>
    </row>
    <row r="58" spans="1:14" ht="11.25" customHeight="1">
      <c r="A58" s="44" t="s">
        <v>185</v>
      </c>
      <c r="B58" s="45" t="s">
        <v>42</v>
      </c>
      <c r="C58" s="46"/>
      <c r="N58" s="50" t="str">
        <f>A74&amp;B74</f>
        <v>E03其他非流动资产</v>
      </c>
    </row>
    <row r="59" spans="1:14" ht="11.25" customHeight="1">
      <c r="A59" s="44" t="s">
        <v>185</v>
      </c>
      <c r="B59" s="45" t="s">
        <v>43</v>
      </c>
      <c r="C59" s="46"/>
      <c r="N59" s="50" t="str">
        <f>A69&amp;B69</f>
        <v>E21开发支出</v>
      </c>
    </row>
    <row r="60" spans="1:14" ht="11.25" customHeight="1">
      <c r="A60" s="44" t="s">
        <v>186</v>
      </c>
      <c r="B60" s="45" t="s">
        <v>44</v>
      </c>
      <c r="C60" s="46"/>
      <c r="N60" s="50" t="e">
        <f>A76&amp;#REF!</f>
        <v>#REF!</v>
      </c>
    </row>
    <row r="61" spans="1:14" ht="11.25" customHeight="1">
      <c r="A61" s="44" t="s">
        <v>187</v>
      </c>
      <c r="B61" s="45" t="s">
        <v>45</v>
      </c>
      <c r="C61" s="46"/>
      <c r="N61" s="50" t="e">
        <f>A77&amp;#REF!</f>
        <v>#REF!</v>
      </c>
    </row>
    <row r="62" spans="1:14" ht="11.25" customHeight="1">
      <c r="A62" s="44" t="s">
        <v>187</v>
      </c>
      <c r="B62" s="45" t="s">
        <v>46</v>
      </c>
      <c r="C62" s="46"/>
      <c r="N62" s="50" t="e">
        <f>A78&amp;#REF!</f>
        <v>#REF!</v>
      </c>
    </row>
    <row r="63" spans="1:14" ht="11.25" customHeight="1">
      <c r="A63" s="44" t="s">
        <v>187</v>
      </c>
      <c r="B63" s="45" t="s">
        <v>47</v>
      </c>
      <c r="C63" s="46"/>
      <c r="N63" s="50" t="str">
        <f>A80&amp;B80</f>
        <v>F01短期借款</v>
      </c>
    </row>
    <row r="64" spans="1:14" s="61" customFormat="1" ht="11.25" customHeight="1">
      <c r="A64" s="44"/>
      <c r="B64" s="46" t="s">
        <v>267</v>
      </c>
      <c r="C64" s="44"/>
      <c r="N64" s="64" t="str">
        <f>A85&amp;B85</f>
        <v>F14交易性金融负债</v>
      </c>
    </row>
    <row r="65" spans="1:14" ht="11.25" customHeight="1">
      <c r="A65" s="44"/>
      <c r="B65" s="46" t="s">
        <v>268</v>
      </c>
      <c r="C65" s="44"/>
      <c r="N65" s="50" t="str">
        <f>A86&amp;B86</f>
        <v>F02应付票据</v>
      </c>
    </row>
    <row r="66" spans="1:14" ht="11.25" customHeight="1">
      <c r="A66" s="44" t="s">
        <v>188</v>
      </c>
      <c r="B66" s="45" t="s">
        <v>48</v>
      </c>
      <c r="C66" s="46"/>
      <c r="N66" s="50" t="str">
        <f>A87&amp;B87</f>
        <v>F03应付账款</v>
      </c>
    </row>
    <row r="67" spans="1:14" ht="11.25" customHeight="1">
      <c r="A67" s="44" t="s">
        <v>188</v>
      </c>
      <c r="B67" s="45" t="s">
        <v>49</v>
      </c>
      <c r="C67" s="46"/>
      <c r="N67" s="50" t="str">
        <f>A88&amp;B88</f>
        <v>F04预收账款</v>
      </c>
    </row>
    <row r="68" spans="1:14" ht="11.25" customHeight="1">
      <c r="A68" s="44" t="s">
        <v>188</v>
      </c>
      <c r="B68" s="45" t="s">
        <v>50</v>
      </c>
      <c r="C68" s="46"/>
      <c r="N68" s="50" t="str">
        <f>A95&amp;B95</f>
        <v>F05其他应付款</v>
      </c>
    </row>
    <row r="69" spans="1:14" s="61" customFormat="1" ht="11.25" customHeight="1">
      <c r="A69" s="44" t="s">
        <v>203</v>
      </c>
      <c r="B69" s="45" t="s">
        <v>236</v>
      </c>
      <c r="C69" s="44"/>
      <c r="N69" s="64" t="str">
        <f>A94&amp;B94</f>
        <v>F09应付股利</v>
      </c>
    </row>
    <row r="70" spans="1:14" s="61" customFormat="1" ht="11.25" customHeight="1">
      <c r="A70" s="44" t="s">
        <v>189</v>
      </c>
      <c r="B70" s="45" t="s">
        <v>51</v>
      </c>
      <c r="C70" s="46"/>
      <c r="N70" s="64" t="str">
        <f>A93&amp;B93</f>
        <v>F11应付利息</v>
      </c>
    </row>
    <row r="71" spans="1:14" ht="11.25" customHeight="1">
      <c r="A71" s="44" t="s">
        <v>189</v>
      </c>
      <c r="B71" s="45" t="s">
        <v>52</v>
      </c>
      <c r="C71" s="46"/>
      <c r="N71" s="50" t="str">
        <f>A92&amp;B92</f>
        <v>F08应交税费</v>
      </c>
    </row>
    <row r="72" spans="1:14" ht="11.25" customHeight="1">
      <c r="A72" s="44" t="s">
        <v>190</v>
      </c>
      <c r="B72" s="45" t="s">
        <v>53</v>
      </c>
      <c r="C72" s="46"/>
      <c r="N72" s="50" t="str">
        <f>A91&amp;B91</f>
        <v>F06应付职工薪酬</v>
      </c>
    </row>
    <row r="73" spans="1:14" ht="11.25" customHeight="1">
      <c r="A73" s="44" t="s">
        <v>191</v>
      </c>
      <c r="B73" s="45" t="s">
        <v>54</v>
      </c>
      <c r="C73" s="46"/>
      <c r="N73" s="50" t="str">
        <f t="shared" ref="N73:N83" si="3">A100&amp;B100</f>
        <v>F15一年内到期的非流动负债</v>
      </c>
    </row>
    <row r="74" spans="1:14" ht="11.25" customHeight="1">
      <c r="A74" s="44" t="s">
        <v>192</v>
      </c>
      <c r="B74" s="45" t="s">
        <v>55</v>
      </c>
      <c r="C74" s="46"/>
      <c r="N74" s="50" t="str">
        <f t="shared" si="3"/>
        <v>F13其他流动负债</v>
      </c>
    </row>
    <row r="75" spans="1:14" ht="11.25" customHeight="1">
      <c r="A75" s="44"/>
      <c r="B75" s="66" t="s">
        <v>269</v>
      </c>
      <c r="C75" s="44"/>
      <c r="N75" s="50" t="str">
        <f t="shared" si="3"/>
        <v>F21预提费用</v>
      </c>
    </row>
    <row r="76" spans="1:14" ht="11.25" customHeight="1">
      <c r="A76" s="44"/>
      <c r="B76" s="66" t="s">
        <v>270</v>
      </c>
      <c r="C76" s="44"/>
      <c r="N76" s="50" t="str">
        <f t="shared" si="3"/>
        <v>[自定义流动负债1…]</v>
      </c>
    </row>
    <row r="77" spans="1:14" ht="11.25" customHeight="1">
      <c r="A77" s="44"/>
      <c r="B77" s="66" t="s">
        <v>271</v>
      </c>
      <c r="C77" s="44"/>
      <c r="N77" s="50" t="str">
        <f t="shared" si="3"/>
        <v>[自定义流动负债2…]</v>
      </c>
    </row>
    <row r="78" spans="1:14" ht="11.25" customHeight="1">
      <c r="A78" s="44"/>
      <c r="B78" s="66" t="s">
        <v>272</v>
      </c>
      <c r="C78" s="44"/>
      <c r="N78" s="50" t="str">
        <f t="shared" si="3"/>
        <v>[自定义流动负债3…]</v>
      </c>
    </row>
    <row r="79" spans="1:14" ht="11.25" customHeight="1">
      <c r="A79" s="44"/>
      <c r="B79" s="66" t="s">
        <v>273</v>
      </c>
      <c r="C79" s="44"/>
      <c r="N79" s="50" t="str">
        <f t="shared" si="3"/>
        <v>[自定义流动负债4…]</v>
      </c>
    </row>
    <row r="80" spans="1:14" ht="11.25" customHeight="1">
      <c r="A80" s="44" t="s">
        <v>193</v>
      </c>
      <c r="B80" s="45" t="s">
        <v>56</v>
      </c>
      <c r="C80" s="46"/>
      <c r="N80" s="50" t="str">
        <f t="shared" si="3"/>
        <v>[自定义流动负债5…]</v>
      </c>
    </row>
    <row r="81" spans="1:14" ht="11.25" customHeight="1">
      <c r="A81" s="44"/>
      <c r="B81" s="46" t="s">
        <v>274</v>
      </c>
      <c r="C81" s="46"/>
      <c r="N81" s="50" t="str">
        <f t="shared" si="3"/>
        <v>G01长期借款</v>
      </c>
    </row>
    <row r="82" spans="1:14" s="61" customFormat="1" ht="11.25" customHeight="1">
      <c r="A82" s="44"/>
      <c r="B82" s="46" t="s">
        <v>275</v>
      </c>
      <c r="C82" s="46"/>
      <c r="N82" s="64" t="str">
        <f t="shared" si="3"/>
        <v>G02应付债券</v>
      </c>
    </row>
    <row r="83" spans="1:14" s="61" customFormat="1" ht="11.25" customHeight="1">
      <c r="A83" s="44"/>
      <c r="B83" s="46" t="s">
        <v>276</v>
      </c>
      <c r="C83" s="46"/>
      <c r="N83" s="64" t="str">
        <f t="shared" si="3"/>
        <v>G03长期应付款</v>
      </c>
    </row>
    <row r="84" spans="1:14" s="61" customFormat="1" ht="11.25" customHeight="1">
      <c r="A84" s="44"/>
      <c r="B84" s="46" t="s">
        <v>277</v>
      </c>
      <c r="C84" s="46"/>
      <c r="N84" s="64" t="str">
        <f>A112&amp;B112</f>
        <v>G04专项应付款</v>
      </c>
    </row>
    <row r="85" spans="1:14" s="61" customFormat="1" ht="11.25" customHeight="1">
      <c r="A85" s="63" t="s">
        <v>116</v>
      </c>
      <c r="B85" s="45" t="s">
        <v>57</v>
      </c>
      <c r="C85" s="46"/>
      <c r="N85" s="64" t="str">
        <f>A113&amp;B113</f>
        <v>F10预计负债</v>
      </c>
    </row>
    <row r="86" spans="1:14" s="61" customFormat="1" ht="11.25" customHeight="1">
      <c r="A86" s="44" t="s">
        <v>194</v>
      </c>
      <c r="B86" s="45" t="s">
        <v>58</v>
      </c>
      <c r="C86" s="46"/>
      <c r="N86" s="64" t="str">
        <f>A114&amp;B114</f>
        <v>G05递延所得税负债</v>
      </c>
    </row>
    <row r="87" spans="1:14" ht="11.25" customHeight="1">
      <c r="A87" s="44" t="s">
        <v>195</v>
      </c>
      <c r="B87" s="45" t="s">
        <v>59</v>
      </c>
      <c r="C87" s="46"/>
      <c r="N87" s="50" t="str">
        <f>A115&amp;B115</f>
        <v>G06其他非流动负债</v>
      </c>
    </row>
    <row r="88" spans="1:14" ht="11.25" customHeight="1">
      <c r="A88" s="44" t="s">
        <v>196</v>
      </c>
      <c r="B88" s="45" t="s">
        <v>60</v>
      </c>
      <c r="C88" s="46"/>
      <c r="N88" s="50" t="e">
        <f>A116&amp;#REF!</f>
        <v>#REF!</v>
      </c>
    </row>
    <row r="89" spans="1:14" ht="11.25" customHeight="1">
      <c r="A89" s="44"/>
      <c r="B89" s="46" t="s">
        <v>278</v>
      </c>
      <c r="C89" s="44"/>
      <c r="N89" s="50" t="e">
        <f>A117&amp;#REF!</f>
        <v>#REF!</v>
      </c>
    </row>
    <row r="90" spans="1:14" ht="11.25" customHeight="1">
      <c r="A90" s="44"/>
      <c r="B90" s="46" t="s">
        <v>279</v>
      </c>
      <c r="C90" s="44"/>
      <c r="N90" s="50" t="e">
        <f>A118&amp;#REF!</f>
        <v>#REF!</v>
      </c>
    </row>
    <row r="91" spans="1:14" ht="11.25" customHeight="1">
      <c r="A91" s="44" t="s">
        <v>200</v>
      </c>
      <c r="B91" s="45" t="s">
        <v>65</v>
      </c>
      <c r="C91" s="46"/>
      <c r="N91" s="50" t="str">
        <f>A119&amp;B119</f>
        <v>H01实收资本</v>
      </c>
    </row>
    <row r="92" spans="1:14" ht="11.25" customHeight="1">
      <c r="A92" s="44" t="s">
        <v>199</v>
      </c>
      <c r="B92" s="45" t="s">
        <v>64</v>
      </c>
      <c r="C92" s="46"/>
      <c r="N92" s="50" t="e">
        <f>#REF!&amp;#REF!</f>
        <v>#REF!</v>
      </c>
    </row>
    <row r="93" spans="1:14" ht="11.25" customHeight="1">
      <c r="A93" s="63" t="s">
        <v>109</v>
      </c>
      <c r="B93" s="45" t="s">
        <v>63</v>
      </c>
      <c r="C93" s="46"/>
      <c r="N93" s="50" t="str">
        <f>A120&amp;B120</f>
        <v>H02资本公积</v>
      </c>
    </row>
    <row r="94" spans="1:14" ht="11.25" customHeight="1">
      <c r="A94" s="44" t="s">
        <v>198</v>
      </c>
      <c r="B94" s="45" t="s">
        <v>62</v>
      </c>
      <c r="C94" s="46"/>
      <c r="N94" s="50" t="str">
        <f>A121&amp;B121</f>
        <v>H06库存股</v>
      </c>
    </row>
    <row r="95" spans="1:14" ht="11.25" customHeight="1">
      <c r="A95" s="44" t="s">
        <v>197</v>
      </c>
      <c r="B95" s="45" t="s">
        <v>61</v>
      </c>
      <c r="C95" s="46"/>
      <c r="N95" s="50" t="str">
        <f>A123&amp;B123</f>
        <v>H03盈余公积</v>
      </c>
    </row>
    <row r="96" spans="1:14" ht="11.25" customHeight="1">
      <c r="A96" s="44"/>
      <c r="B96" s="46" t="s">
        <v>280</v>
      </c>
      <c r="C96" s="46"/>
      <c r="N96" s="50" t="str">
        <f>A125&amp;B125</f>
        <v>H04未分配利润</v>
      </c>
    </row>
    <row r="97" spans="1:14" ht="11.25" customHeight="1">
      <c r="A97" s="44"/>
      <c r="B97" s="46" t="s">
        <v>281</v>
      </c>
      <c r="C97" s="46"/>
      <c r="N97" s="50" t="str">
        <f>A127&amp;B127</f>
        <v>H07少数股东权益</v>
      </c>
    </row>
    <row r="98" spans="1:14" ht="11.25" customHeight="1">
      <c r="A98" s="44"/>
      <c r="B98" s="46" t="s">
        <v>282</v>
      </c>
      <c r="C98" s="46"/>
      <c r="N98" s="50" t="str">
        <f>A128&amp;B128</f>
        <v>H21[自定义权益科目2…]</v>
      </c>
    </row>
    <row r="99" spans="1:14" ht="11.25" customHeight="1">
      <c r="A99" s="44"/>
      <c r="B99" s="46" t="s">
        <v>283</v>
      </c>
      <c r="C99" s="46"/>
      <c r="N99" s="50" t="e">
        <f>#REF!&amp;#REF!</f>
        <v>#REF!</v>
      </c>
    </row>
    <row r="100" spans="1:14" ht="11.25" customHeight="1">
      <c r="A100" s="63" t="s">
        <v>117</v>
      </c>
      <c r="B100" s="45" t="s">
        <v>66</v>
      </c>
      <c r="C100" s="46"/>
      <c r="N100" s="50" t="str">
        <f>A129&amp;B129</f>
        <v>I01主营业务收入</v>
      </c>
    </row>
    <row r="101" spans="1:14" ht="11.25" customHeight="1">
      <c r="A101" s="63" t="s">
        <v>110</v>
      </c>
      <c r="B101" s="45" t="s">
        <v>67</v>
      </c>
      <c r="C101" s="46"/>
      <c r="N101" s="50" t="str">
        <f>A130&amp;B130</f>
        <v>I01其他业务收入</v>
      </c>
    </row>
    <row r="102" spans="1:14" ht="11.25" customHeight="1">
      <c r="A102" s="44" t="s">
        <v>201</v>
      </c>
      <c r="B102" s="45" t="s">
        <v>237</v>
      </c>
      <c r="C102" s="46"/>
      <c r="N102" s="50" t="str">
        <f>A131&amp;B131</f>
        <v>I01利息收入</v>
      </c>
    </row>
    <row r="103" spans="1:14" ht="11.25" customHeight="1">
      <c r="A103" s="44"/>
      <c r="B103" s="66" t="s">
        <v>284</v>
      </c>
      <c r="C103" s="46"/>
      <c r="N103" s="50" t="str">
        <f>A134&amp;B134</f>
        <v>[自定义收入1…]</v>
      </c>
    </row>
    <row r="104" spans="1:14" ht="11.25" customHeight="1">
      <c r="A104" s="44"/>
      <c r="B104" s="66" t="s">
        <v>285</v>
      </c>
      <c r="C104" s="46"/>
      <c r="N104" s="50" t="str">
        <f>A135&amp;B135</f>
        <v>[自定义收入2…]</v>
      </c>
    </row>
    <row r="105" spans="1:14" ht="11.25" customHeight="1">
      <c r="A105" s="44"/>
      <c r="B105" s="66" t="s">
        <v>286</v>
      </c>
      <c r="C105" s="46"/>
      <c r="N105" s="50" t="str">
        <f>A136&amp;B136</f>
        <v>I02主营业务成本</v>
      </c>
    </row>
    <row r="106" spans="1:14" ht="11.25" customHeight="1">
      <c r="A106" s="44"/>
      <c r="B106" s="66" t="s">
        <v>287</v>
      </c>
      <c r="C106" s="46"/>
      <c r="N106" s="50" t="str">
        <f>A137&amp;B137</f>
        <v>I02其他业务成本</v>
      </c>
    </row>
    <row r="107" spans="1:14" ht="11.25" customHeight="1">
      <c r="A107" s="44"/>
      <c r="B107" s="66" t="s">
        <v>288</v>
      </c>
      <c r="C107" s="46"/>
      <c r="N107" s="50" t="str">
        <f>A138&amp;B138</f>
        <v>I02利息支出</v>
      </c>
    </row>
    <row r="108" spans="1:14" ht="11.25" customHeight="1">
      <c r="A108" s="44" t="s">
        <v>204</v>
      </c>
      <c r="B108" s="45" t="s">
        <v>68</v>
      </c>
      <c r="C108" s="46"/>
      <c r="N108" s="50" t="e">
        <f>A147&amp;#REF!</f>
        <v>#REF!</v>
      </c>
    </row>
    <row r="109" spans="1:14" ht="11.25" customHeight="1">
      <c r="A109" s="44" t="s">
        <v>205</v>
      </c>
      <c r="B109" s="45" t="s">
        <v>69</v>
      </c>
      <c r="C109" s="46"/>
      <c r="N109" s="50" t="e">
        <f>#REF!&amp;#REF!</f>
        <v>#REF!</v>
      </c>
    </row>
    <row r="110" spans="1:14" ht="11.25" customHeight="1">
      <c r="A110" s="44" t="s">
        <v>206</v>
      </c>
      <c r="B110" s="45" t="s">
        <v>70</v>
      </c>
      <c r="C110" s="46"/>
      <c r="N110" s="50" t="str">
        <f>A148&amp;B148</f>
        <v>I04营业税金及附加</v>
      </c>
    </row>
    <row r="111" spans="1:14" ht="11.25" customHeight="1">
      <c r="A111" s="44" t="s">
        <v>206</v>
      </c>
      <c r="B111" s="46" t="s">
        <v>289</v>
      </c>
      <c r="C111" s="44"/>
      <c r="N111" s="50" t="str">
        <f>A149&amp;B149</f>
        <v>I03销售费用</v>
      </c>
    </row>
    <row r="112" spans="1:14" ht="11.25" customHeight="1">
      <c r="A112" s="44" t="s">
        <v>207</v>
      </c>
      <c r="B112" s="45" t="s">
        <v>71</v>
      </c>
      <c r="C112" s="46"/>
      <c r="N112" s="50" t="str">
        <f>A150&amp;B150</f>
        <v>I07管理费用</v>
      </c>
    </row>
    <row r="113" spans="1:14" ht="11.25" customHeight="1">
      <c r="A113" s="63" t="s">
        <v>111</v>
      </c>
      <c r="B113" s="45" t="s">
        <v>72</v>
      </c>
      <c r="C113" s="46"/>
      <c r="N113" s="50" t="str">
        <f>A151&amp;B151</f>
        <v>I08财务费用</v>
      </c>
    </row>
    <row r="114" spans="1:14" ht="11.25" customHeight="1">
      <c r="A114" s="44" t="s">
        <v>208</v>
      </c>
      <c r="B114" s="45" t="s">
        <v>73</v>
      </c>
      <c r="C114" s="46"/>
      <c r="N114" s="50" t="str">
        <f>A153&amp;B153</f>
        <v>[自定义成本1…]</v>
      </c>
    </row>
    <row r="115" spans="1:14" ht="11.25" customHeight="1">
      <c r="A115" s="44" t="s">
        <v>209</v>
      </c>
      <c r="B115" s="45" t="s">
        <v>74</v>
      </c>
      <c r="C115" s="46"/>
      <c r="N115" s="50" t="str">
        <f>A154&amp;B154</f>
        <v>[自定义成本2…]</v>
      </c>
    </row>
    <row r="116" spans="1:14" s="61" customFormat="1" ht="11.25" customHeight="1">
      <c r="A116" s="44"/>
      <c r="B116" s="66" t="s">
        <v>290</v>
      </c>
      <c r="C116" s="44"/>
      <c r="N116" s="64" t="str">
        <f>A152&amp;B152</f>
        <v>I05资产减值损失</v>
      </c>
    </row>
    <row r="117" spans="1:14" s="61" customFormat="1" ht="11.25" customHeight="1">
      <c r="A117" s="44"/>
      <c r="B117" s="66" t="s">
        <v>291</v>
      </c>
      <c r="C117" s="44"/>
      <c r="N117" s="64" t="str">
        <f t="shared" ref="N117:N122" si="4">A156&amp;B156</f>
        <v>I13公允价值变动收益</v>
      </c>
    </row>
    <row r="118" spans="1:14" s="61" customFormat="1" ht="11.25" customHeight="1">
      <c r="A118" s="44"/>
      <c r="B118" s="66" t="s">
        <v>292</v>
      </c>
      <c r="C118" s="44"/>
      <c r="N118" s="64" t="str">
        <f t="shared" si="4"/>
        <v>I09投资收益</v>
      </c>
    </row>
    <row r="119" spans="1:14" ht="11.25" customHeight="1">
      <c r="A119" s="44" t="s">
        <v>210</v>
      </c>
      <c r="B119" s="45" t="s">
        <v>75</v>
      </c>
      <c r="C119" s="46"/>
      <c r="N119" s="50" t="str">
        <f t="shared" si="4"/>
        <v>I14汇兑收益</v>
      </c>
    </row>
    <row r="120" spans="1:14" ht="11.25" customHeight="1">
      <c r="A120" s="44" t="s">
        <v>211</v>
      </c>
      <c r="B120" s="45" t="s">
        <v>76</v>
      </c>
      <c r="C120" s="46"/>
      <c r="N120" s="50" t="str">
        <f t="shared" si="4"/>
        <v>I10营业外收入</v>
      </c>
    </row>
    <row r="121" spans="1:14" ht="11.25" customHeight="1">
      <c r="A121" s="44" t="s">
        <v>212</v>
      </c>
      <c r="B121" s="45" t="s">
        <v>77</v>
      </c>
      <c r="C121" s="46"/>
      <c r="N121" s="50" t="str">
        <f t="shared" si="4"/>
        <v>I11营业外支出</v>
      </c>
    </row>
    <row r="122" spans="1:14" ht="11.25" customHeight="1">
      <c r="A122" s="44"/>
      <c r="B122" s="46" t="s">
        <v>293</v>
      </c>
      <c r="C122" s="44"/>
      <c r="N122" s="50" t="str">
        <f t="shared" si="4"/>
        <v>I12所得税费用</v>
      </c>
    </row>
    <row r="123" spans="1:14" ht="11.25" customHeight="1">
      <c r="A123" s="44" t="s">
        <v>213</v>
      </c>
      <c r="B123" s="45" t="s">
        <v>78</v>
      </c>
      <c r="C123" s="46"/>
      <c r="N123" s="50" t="e">
        <f>A162&amp;#REF!</f>
        <v>#REF!</v>
      </c>
    </row>
    <row r="124" spans="1:14" ht="11.25" customHeight="1">
      <c r="A124" s="44"/>
      <c r="B124" s="46" t="s">
        <v>294</v>
      </c>
      <c r="C124" s="44"/>
      <c r="N124" s="50"/>
    </row>
    <row r="125" spans="1:14" ht="11.25" customHeight="1">
      <c r="A125" s="44" t="s">
        <v>214</v>
      </c>
      <c r="B125" s="45" t="s">
        <v>79</v>
      </c>
      <c r="C125" s="46"/>
      <c r="N125" s="50" t="str">
        <f t="shared" ref="N125:N130" si="5">A164&amp;B164</f>
        <v>H04年初未分配利润</v>
      </c>
    </row>
    <row r="126" spans="1:14" ht="11.25" customHeight="1">
      <c r="A126" s="44"/>
      <c r="B126" s="46" t="s">
        <v>295</v>
      </c>
      <c r="C126" s="44"/>
      <c r="N126" s="50" t="str">
        <f t="shared" si="5"/>
        <v>H04其他转入</v>
      </c>
    </row>
    <row r="127" spans="1:14" ht="11.25" customHeight="1">
      <c r="A127" s="44" t="s">
        <v>215</v>
      </c>
      <c r="B127" s="45" t="s">
        <v>8</v>
      </c>
      <c r="C127" s="46"/>
      <c r="N127" s="50" t="str">
        <f t="shared" si="5"/>
        <v>H04提取法定盈余公积</v>
      </c>
    </row>
    <row r="128" spans="1:14" ht="11.25" customHeight="1">
      <c r="A128" s="44" t="s">
        <v>216</v>
      </c>
      <c r="B128" s="45" t="s">
        <v>80</v>
      </c>
      <c r="C128" s="46"/>
      <c r="N128" s="50" t="str">
        <f t="shared" si="5"/>
        <v>H04提取职工奖励及福利基金</v>
      </c>
    </row>
    <row r="129" spans="1:14" ht="11.25" customHeight="1">
      <c r="A129" s="44" t="s">
        <v>217</v>
      </c>
      <c r="B129" s="45" t="s">
        <v>81</v>
      </c>
      <c r="C129" s="46"/>
      <c r="N129" s="50" t="str">
        <f t="shared" si="5"/>
        <v>H04提取储备基金</v>
      </c>
    </row>
    <row r="130" spans="1:14" ht="11.25" customHeight="1">
      <c r="A130" s="44" t="s">
        <v>217</v>
      </c>
      <c r="B130" s="45" t="s">
        <v>82</v>
      </c>
      <c r="C130" s="46"/>
      <c r="N130" s="50" t="str">
        <f t="shared" si="5"/>
        <v>H04提取企业发展基金</v>
      </c>
    </row>
    <row r="131" spans="1:14" ht="11.25" customHeight="1">
      <c r="A131" s="44" t="s">
        <v>217</v>
      </c>
      <c r="B131" s="45" t="s">
        <v>83</v>
      </c>
      <c r="C131" s="46"/>
      <c r="N131" s="50" t="e">
        <f>A170&amp;#REF!</f>
        <v>#REF!</v>
      </c>
    </row>
    <row r="132" spans="1:14" ht="11.25" customHeight="1">
      <c r="A132" s="44"/>
      <c r="B132" s="46" t="s">
        <v>296</v>
      </c>
      <c r="C132" s="46"/>
      <c r="N132" s="50" t="str">
        <f>A171&amp;B171</f>
        <v>H04提取任意盈余公积</v>
      </c>
    </row>
    <row r="133" spans="1:14" ht="11.25" customHeight="1">
      <c r="A133" s="44"/>
      <c r="B133" s="46" t="s">
        <v>297</v>
      </c>
      <c r="C133" s="46"/>
      <c r="N133" s="50" t="str">
        <f>A172&amp;B172</f>
        <v>H04应付现金股利或利润</v>
      </c>
    </row>
    <row r="134" spans="1:14" ht="11.25" customHeight="1">
      <c r="A134" s="44"/>
      <c r="B134" s="66" t="s">
        <v>298</v>
      </c>
      <c r="C134" s="46"/>
      <c r="N134" s="50" t="str">
        <f>A173&amp;B173</f>
        <v>H04转作股本的股利</v>
      </c>
    </row>
    <row r="135" spans="1:14" ht="11.25" customHeight="1">
      <c r="A135" s="44"/>
      <c r="B135" s="66" t="s">
        <v>299</v>
      </c>
      <c r="C135" s="46"/>
      <c r="N135" s="50" t="str">
        <f>A174&amp;B174</f>
        <v>H04盈余公积补亏</v>
      </c>
    </row>
    <row r="136" spans="1:14" ht="11.25" customHeight="1">
      <c r="A136" s="44" t="s">
        <v>218</v>
      </c>
      <c r="B136" s="45" t="s">
        <v>84</v>
      </c>
      <c r="C136" s="46"/>
      <c r="N136" s="50" t="e">
        <f>A175&amp;#REF!</f>
        <v>#REF!</v>
      </c>
    </row>
    <row r="137" spans="1:14">
      <c r="A137" s="44" t="s">
        <v>218</v>
      </c>
      <c r="B137" s="45" t="s">
        <v>85</v>
      </c>
      <c r="C137" s="46"/>
      <c r="N137" s="50"/>
    </row>
    <row r="138" spans="1:14">
      <c r="A138" s="44" t="s">
        <v>218</v>
      </c>
      <c r="B138" s="45" t="s">
        <v>86</v>
      </c>
      <c r="C138" s="46"/>
      <c r="N138" s="50"/>
    </row>
    <row r="139" spans="1:14">
      <c r="A139" s="44"/>
      <c r="B139" s="46" t="s">
        <v>300</v>
      </c>
      <c r="C139" s="46"/>
      <c r="N139" s="50"/>
    </row>
    <row r="140" spans="1:14">
      <c r="A140" s="44"/>
      <c r="B140" s="46" t="s">
        <v>301</v>
      </c>
      <c r="C140" s="46"/>
      <c r="N140" s="50"/>
    </row>
    <row r="141" spans="1:14">
      <c r="A141" s="44"/>
      <c r="B141" s="46" t="s">
        <v>302</v>
      </c>
      <c r="C141" s="46"/>
      <c r="N141" s="50"/>
    </row>
    <row r="142" spans="1:14">
      <c r="A142" s="44"/>
      <c r="B142" s="46" t="s">
        <v>303</v>
      </c>
      <c r="C142" s="46"/>
      <c r="N142" s="50"/>
    </row>
    <row r="143" spans="1:14">
      <c r="A143" s="44"/>
      <c r="B143" s="46" t="s">
        <v>304</v>
      </c>
      <c r="C143" s="46"/>
    </row>
    <row r="144" spans="1:14">
      <c r="A144" s="44"/>
      <c r="B144" s="46" t="s">
        <v>305</v>
      </c>
      <c r="C144" s="46"/>
    </row>
    <row r="145" spans="1:3">
      <c r="A145" s="44"/>
      <c r="B145" s="46" t="s">
        <v>306</v>
      </c>
      <c r="C145" s="46"/>
    </row>
    <row r="146" spans="1:3">
      <c r="A146" s="44"/>
      <c r="B146" s="46" t="s">
        <v>307</v>
      </c>
      <c r="C146" s="46"/>
    </row>
    <row r="147" spans="1:3">
      <c r="A147" s="44"/>
      <c r="B147" s="46" t="s">
        <v>308</v>
      </c>
      <c r="C147" s="44"/>
    </row>
    <row r="148" spans="1:3">
      <c r="A148" s="44" t="s">
        <v>219</v>
      </c>
      <c r="B148" s="45" t="s">
        <v>87</v>
      </c>
      <c r="C148" s="46"/>
    </row>
    <row r="149" spans="1:3">
      <c r="A149" s="44" t="s">
        <v>220</v>
      </c>
      <c r="B149" s="45" t="s">
        <v>88</v>
      </c>
      <c r="C149" s="46"/>
    </row>
    <row r="150" spans="1:3">
      <c r="A150" s="44" t="s">
        <v>221</v>
      </c>
      <c r="B150" s="45" t="s">
        <v>89</v>
      </c>
      <c r="C150" s="46"/>
    </row>
    <row r="151" spans="1:3">
      <c r="A151" s="44" t="s">
        <v>222</v>
      </c>
      <c r="B151" s="45" t="s">
        <v>90</v>
      </c>
      <c r="C151" s="46"/>
    </row>
    <row r="152" spans="1:3">
      <c r="A152" s="44" t="s">
        <v>223</v>
      </c>
      <c r="B152" s="45" t="s">
        <v>91</v>
      </c>
      <c r="C152" s="46"/>
    </row>
    <row r="153" spans="1:3">
      <c r="A153" s="44"/>
      <c r="B153" s="66" t="s">
        <v>309</v>
      </c>
      <c r="C153" s="46"/>
    </row>
    <row r="154" spans="1:3">
      <c r="A154" s="44"/>
      <c r="B154" s="66" t="s">
        <v>310</v>
      </c>
      <c r="C154" s="46"/>
    </row>
    <row r="155" spans="1:3">
      <c r="A155" s="44"/>
      <c r="B155" s="66" t="s">
        <v>311</v>
      </c>
      <c r="C155" s="46"/>
    </row>
    <row r="156" spans="1:3">
      <c r="A156" s="63" t="s">
        <v>118</v>
      </c>
      <c r="B156" s="65" t="s">
        <v>315</v>
      </c>
      <c r="C156" s="46"/>
    </row>
    <row r="157" spans="1:3">
      <c r="A157" s="44" t="s">
        <v>224</v>
      </c>
      <c r="B157" s="45" t="s">
        <v>92</v>
      </c>
      <c r="C157" s="46"/>
    </row>
    <row r="158" spans="1:3">
      <c r="A158" s="63" t="s">
        <v>119</v>
      </c>
      <c r="B158" s="65" t="s">
        <v>316</v>
      </c>
      <c r="C158" s="46"/>
    </row>
    <row r="159" spans="1:3">
      <c r="A159" s="63" t="s">
        <v>112</v>
      </c>
      <c r="B159" s="45" t="s">
        <v>93</v>
      </c>
      <c r="C159" s="46"/>
    </row>
    <row r="160" spans="1:3">
      <c r="A160" s="63" t="s">
        <v>113</v>
      </c>
      <c r="B160" s="45" t="s">
        <v>94</v>
      </c>
      <c r="C160" s="46"/>
    </row>
    <row r="161" spans="1:3">
      <c r="A161" s="63" t="s">
        <v>114</v>
      </c>
      <c r="B161" s="45" t="s">
        <v>95</v>
      </c>
      <c r="C161" s="46"/>
    </row>
    <row r="162" spans="1:3">
      <c r="A162" s="44"/>
      <c r="B162" s="66" t="s">
        <v>312</v>
      </c>
      <c r="C162" s="44"/>
    </row>
    <row r="163" spans="1:3">
      <c r="A163" s="44" t="s">
        <v>214</v>
      </c>
      <c r="B163" s="45" t="s">
        <v>9</v>
      </c>
      <c r="C163" s="46"/>
    </row>
    <row r="164" spans="1:3">
      <c r="A164" s="44" t="s">
        <v>214</v>
      </c>
      <c r="B164" s="45" t="s">
        <v>96</v>
      </c>
      <c r="C164" s="46"/>
    </row>
    <row r="165" spans="1:3">
      <c r="A165" s="44" t="s">
        <v>214</v>
      </c>
      <c r="B165" s="45" t="s">
        <v>97</v>
      </c>
      <c r="C165" s="46"/>
    </row>
    <row r="166" spans="1:3">
      <c r="A166" s="44" t="s">
        <v>214</v>
      </c>
      <c r="B166" s="45" t="s">
        <v>98</v>
      </c>
      <c r="C166" s="46"/>
    </row>
    <row r="167" spans="1:3">
      <c r="A167" s="44" t="s">
        <v>214</v>
      </c>
      <c r="B167" s="45" t="s">
        <v>99</v>
      </c>
      <c r="C167" s="46"/>
    </row>
    <row r="168" spans="1:3">
      <c r="A168" s="44" t="s">
        <v>214</v>
      </c>
      <c r="B168" s="45" t="s">
        <v>100</v>
      </c>
      <c r="C168" s="46"/>
    </row>
    <row r="169" spans="1:3">
      <c r="A169" s="44" t="s">
        <v>214</v>
      </c>
      <c r="B169" s="45" t="s">
        <v>101</v>
      </c>
      <c r="C169" s="46"/>
    </row>
    <row r="170" spans="1:3">
      <c r="A170" s="44" t="s">
        <v>214</v>
      </c>
      <c r="B170" s="66" t="s">
        <v>313</v>
      </c>
      <c r="C170" s="44"/>
    </row>
    <row r="171" spans="1:3">
      <c r="A171" s="44" t="s">
        <v>214</v>
      </c>
      <c r="B171" s="45" t="s">
        <v>102</v>
      </c>
      <c r="C171" s="46"/>
    </row>
    <row r="172" spans="1:3">
      <c r="A172" s="44" t="s">
        <v>214</v>
      </c>
      <c r="B172" s="45" t="s">
        <v>103</v>
      </c>
      <c r="C172" s="46"/>
    </row>
    <row r="173" spans="1:3">
      <c r="A173" s="44" t="s">
        <v>214</v>
      </c>
      <c r="B173" s="45" t="s">
        <v>104</v>
      </c>
      <c r="C173" s="46"/>
    </row>
    <row r="174" spans="1:3">
      <c r="A174" s="44" t="s">
        <v>214</v>
      </c>
      <c r="B174" s="45" t="s">
        <v>105</v>
      </c>
      <c r="C174" s="46"/>
    </row>
    <row r="175" spans="1:3">
      <c r="A175" s="44" t="s">
        <v>214</v>
      </c>
      <c r="B175" s="66" t="s">
        <v>314</v>
      </c>
      <c r="C175" s="44"/>
    </row>
    <row r="176" spans="1:3">
      <c r="A176" s="44"/>
      <c r="B176" s="45"/>
      <c r="C176" s="44"/>
    </row>
    <row r="177" spans="1:3">
      <c r="A177" s="44"/>
      <c r="B177" s="45"/>
      <c r="C177" s="44"/>
    </row>
  </sheetData>
  <sheetProtection sheet="1"/>
  <mergeCells count="2">
    <mergeCell ref="D3:F3"/>
    <mergeCell ref="A3:C3"/>
  </mergeCells>
  <phoneticPr fontId="63" type="noConversion"/>
  <printOptions horizontalCentered="1" verticalCentered="1"/>
  <pageMargins left="0" right="0" top="0" bottom="0" header="0" footer="0"/>
  <pageSetup paperSize="9" scale="39" orientation="portrait" blackAndWhite="1"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rgb="FF7030A0"/>
    <pageSetUpPr fitToPage="1"/>
  </sheetPr>
  <dimension ref="A1:P48"/>
  <sheetViews>
    <sheetView workbookViewId="0">
      <selection activeCell="A4" sqref="A4"/>
    </sheetView>
  </sheetViews>
  <sheetFormatPr defaultColWidth="9" defaultRowHeight="13"/>
  <cols>
    <col min="1" max="1" width="105.58203125" style="14" customWidth="1"/>
    <col min="2" max="16384" width="9" style="11"/>
  </cols>
  <sheetData>
    <row r="1" spans="1:16" s="18" customFormat="1">
      <c r="A1" s="67" t="s">
        <v>321</v>
      </c>
      <c r="B1" s="19"/>
    </row>
    <row r="2" spans="1:16" ht="26">
      <c r="A2" s="14" t="s">
        <v>322</v>
      </c>
      <c r="B2" s="14"/>
      <c r="C2" s="14"/>
      <c r="D2" s="14"/>
      <c r="E2" s="14"/>
      <c r="F2" s="14"/>
      <c r="G2" s="14"/>
      <c r="H2" s="14"/>
      <c r="I2" s="14"/>
      <c r="J2" s="14"/>
      <c r="K2" s="14"/>
      <c r="L2" s="14"/>
      <c r="M2" s="14"/>
      <c r="N2" s="14"/>
      <c r="O2" s="14"/>
      <c r="P2" s="14"/>
    </row>
    <row r="3" spans="1:16" ht="39">
      <c r="A3" s="15" t="s">
        <v>323</v>
      </c>
      <c r="B3" s="12"/>
      <c r="C3" s="12"/>
      <c r="D3" s="12"/>
      <c r="E3" s="12"/>
      <c r="F3" s="12"/>
      <c r="G3" s="12"/>
      <c r="H3" s="12"/>
      <c r="I3" s="12"/>
      <c r="J3" s="12"/>
      <c r="K3" s="12"/>
      <c r="L3" s="12"/>
      <c r="M3" s="12"/>
      <c r="N3" s="12"/>
      <c r="O3" s="12"/>
      <c r="P3" s="12"/>
    </row>
    <row r="4" spans="1:16" ht="26">
      <c r="A4" s="14" t="s">
        <v>324</v>
      </c>
      <c r="B4" s="14"/>
      <c r="C4" s="14"/>
      <c r="D4" s="14"/>
      <c r="E4" s="14"/>
      <c r="F4" s="14"/>
      <c r="G4" s="14"/>
      <c r="H4" s="14"/>
      <c r="I4" s="14"/>
      <c r="J4" s="14"/>
      <c r="K4" s="14"/>
      <c r="L4" s="14"/>
      <c r="M4" s="14"/>
      <c r="N4" s="14"/>
      <c r="O4" s="14"/>
      <c r="P4" s="14"/>
    </row>
    <row r="5" spans="1:16">
      <c r="A5" s="14" t="s">
        <v>325</v>
      </c>
      <c r="B5" s="14"/>
      <c r="C5" s="14"/>
      <c r="D5" s="14"/>
      <c r="E5" s="14"/>
      <c r="F5" s="14"/>
      <c r="G5" s="14"/>
      <c r="H5" s="14"/>
      <c r="I5" s="14"/>
      <c r="J5" s="14"/>
      <c r="K5" s="14"/>
      <c r="L5" s="14"/>
      <c r="M5" s="14"/>
      <c r="N5" s="14"/>
      <c r="O5" s="14"/>
      <c r="P5" s="14"/>
    </row>
    <row r="6" spans="1:16" ht="26">
      <c r="A6" s="14" t="s">
        <v>326</v>
      </c>
      <c r="B6" s="14"/>
      <c r="C6" s="14"/>
      <c r="D6" s="14"/>
      <c r="E6" s="14"/>
      <c r="F6" s="14"/>
      <c r="G6" s="14"/>
      <c r="H6" s="14"/>
      <c r="I6" s="14"/>
      <c r="J6" s="14"/>
      <c r="K6" s="14"/>
      <c r="L6" s="14"/>
      <c r="M6" s="14"/>
      <c r="N6" s="14"/>
      <c r="O6" s="14"/>
      <c r="P6" s="14"/>
    </row>
    <row r="7" spans="1:16">
      <c r="A7" s="14" t="s">
        <v>327</v>
      </c>
      <c r="B7" s="14"/>
      <c r="C7" s="14"/>
      <c r="D7" s="14"/>
      <c r="E7" s="14"/>
      <c r="F7" s="14"/>
      <c r="G7" s="14"/>
      <c r="H7" s="14"/>
      <c r="I7" s="14"/>
      <c r="J7" s="14"/>
      <c r="K7" s="14"/>
      <c r="L7" s="14"/>
      <c r="M7" s="14"/>
      <c r="N7" s="14"/>
      <c r="O7" s="14"/>
      <c r="P7" s="14"/>
    </row>
    <row r="8" spans="1:16">
      <c r="A8" s="14" t="s">
        <v>328</v>
      </c>
      <c r="B8" s="14"/>
      <c r="C8" s="14"/>
      <c r="D8" s="14"/>
      <c r="E8" s="14"/>
      <c r="F8" s="14"/>
      <c r="G8" s="14"/>
      <c r="H8" s="14"/>
      <c r="I8" s="14"/>
      <c r="J8" s="14"/>
      <c r="K8" s="14"/>
      <c r="L8" s="14"/>
      <c r="M8" s="14"/>
      <c r="N8" s="14"/>
      <c r="O8" s="14"/>
      <c r="P8" s="14"/>
    </row>
    <row r="9" spans="1:16">
      <c r="A9" s="14" t="s">
        <v>329</v>
      </c>
      <c r="B9" s="14"/>
      <c r="C9" s="14"/>
      <c r="D9" s="14"/>
      <c r="E9" s="14"/>
      <c r="F9" s="14"/>
      <c r="G9" s="14"/>
      <c r="H9" s="14"/>
      <c r="I9" s="14"/>
      <c r="J9" s="14"/>
      <c r="K9" s="14"/>
      <c r="L9" s="14"/>
      <c r="M9" s="14"/>
      <c r="N9" s="14"/>
      <c r="O9" s="14"/>
      <c r="P9" s="14"/>
    </row>
    <row r="10" spans="1:16">
      <c r="A10" s="14" t="s">
        <v>330</v>
      </c>
      <c r="B10" s="14"/>
      <c r="C10" s="14"/>
      <c r="D10" s="14"/>
      <c r="E10" s="14"/>
      <c r="F10" s="14"/>
      <c r="G10" s="14"/>
      <c r="H10" s="14"/>
      <c r="I10" s="14"/>
      <c r="J10" s="14"/>
      <c r="K10" s="14"/>
      <c r="L10" s="14"/>
      <c r="M10" s="14"/>
      <c r="N10" s="14"/>
      <c r="O10" s="14"/>
      <c r="P10" s="14"/>
    </row>
    <row r="11" spans="1:16">
      <c r="A11" s="14" t="s">
        <v>331</v>
      </c>
      <c r="B11" s="14"/>
      <c r="C11" s="14"/>
      <c r="D11" s="14"/>
      <c r="E11" s="14"/>
      <c r="F11" s="14"/>
      <c r="G11" s="14"/>
      <c r="H11" s="14"/>
      <c r="I11" s="14"/>
      <c r="J11" s="14"/>
      <c r="K11" s="14"/>
      <c r="L11" s="14"/>
      <c r="M11" s="14"/>
      <c r="N11" s="14"/>
      <c r="O11" s="14"/>
      <c r="P11" s="14"/>
    </row>
    <row r="12" spans="1:16">
      <c r="A12" s="14" t="s">
        <v>332</v>
      </c>
      <c r="B12" s="14"/>
      <c r="C12" s="14"/>
      <c r="D12" s="14"/>
      <c r="E12" s="14"/>
      <c r="F12" s="14"/>
      <c r="G12" s="14"/>
      <c r="H12" s="14"/>
      <c r="I12" s="14"/>
      <c r="J12" s="14"/>
      <c r="K12" s="14"/>
      <c r="L12" s="14"/>
      <c r="M12" s="14"/>
      <c r="N12" s="14"/>
      <c r="O12" s="14"/>
      <c r="P12" s="14"/>
    </row>
    <row r="13" spans="1:16">
      <c r="A13" s="14" t="s">
        <v>333</v>
      </c>
      <c r="B13" s="13"/>
      <c r="C13" s="13"/>
      <c r="D13" s="13"/>
      <c r="E13" s="13"/>
      <c r="F13" s="13"/>
      <c r="G13" s="13"/>
      <c r="H13" s="13"/>
      <c r="I13" s="13"/>
      <c r="J13" s="13"/>
      <c r="K13" s="13"/>
      <c r="L13" s="13"/>
      <c r="M13" s="13"/>
      <c r="N13" s="13"/>
      <c r="O13" s="13"/>
      <c r="P13" s="13"/>
    </row>
    <row r="14" spans="1:16">
      <c r="A14" s="14" t="s">
        <v>334</v>
      </c>
      <c r="B14" s="14"/>
      <c r="C14" s="14"/>
      <c r="D14" s="14"/>
      <c r="E14" s="14"/>
      <c r="F14" s="14"/>
      <c r="G14" s="14"/>
      <c r="H14" s="14"/>
      <c r="I14" s="14"/>
      <c r="J14" s="14"/>
      <c r="K14" s="14"/>
      <c r="L14" s="14"/>
      <c r="M14" s="14"/>
      <c r="N14" s="14"/>
      <c r="O14" s="14"/>
      <c r="P14" s="14"/>
    </row>
    <row r="15" spans="1:16">
      <c r="A15" s="14" t="s">
        <v>335</v>
      </c>
      <c r="B15" s="14"/>
      <c r="C15" s="14"/>
      <c r="D15" s="14"/>
      <c r="E15" s="14"/>
      <c r="F15" s="14"/>
      <c r="G15" s="14"/>
      <c r="H15" s="14"/>
      <c r="I15" s="14"/>
      <c r="J15" s="14"/>
      <c r="K15" s="14"/>
      <c r="L15" s="14"/>
      <c r="M15" s="14"/>
      <c r="N15" s="14"/>
      <c r="O15" s="14"/>
      <c r="P15" s="14"/>
    </row>
    <row r="16" spans="1:16" ht="26">
      <c r="A16" s="14" t="s">
        <v>336</v>
      </c>
      <c r="B16" s="14"/>
      <c r="C16" s="14"/>
      <c r="D16" s="14"/>
      <c r="E16" s="14"/>
      <c r="F16" s="14"/>
      <c r="G16" s="14"/>
      <c r="H16" s="14"/>
      <c r="I16" s="14"/>
      <c r="J16" s="14"/>
      <c r="K16" s="14"/>
      <c r="L16" s="14"/>
      <c r="M16" s="14"/>
      <c r="N16" s="14"/>
      <c r="O16" s="14"/>
      <c r="P16" s="14"/>
    </row>
    <row r="17" spans="1:16">
      <c r="A17" s="14" t="s">
        <v>337</v>
      </c>
      <c r="B17" s="14"/>
      <c r="C17" s="14"/>
      <c r="D17" s="14"/>
      <c r="E17" s="14"/>
      <c r="F17" s="14"/>
      <c r="G17" s="14"/>
      <c r="H17" s="14"/>
      <c r="I17" s="14"/>
      <c r="J17" s="14"/>
      <c r="K17" s="14"/>
      <c r="L17" s="14"/>
      <c r="M17" s="14"/>
      <c r="N17" s="14"/>
      <c r="O17" s="14"/>
      <c r="P17" s="14"/>
    </row>
    <row r="18" spans="1:16">
      <c r="A18" s="14" t="s">
        <v>338</v>
      </c>
      <c r="B18" s="14"/>
      <c r="C18" s="14"/>
      <c r="D18" s="14"/>
      <c r="E18" s="14"/>
      <c r="F18" s="14"/>
      <c r="G18" s="14"/>
      <c r="H18" s="14"/>
      <c r="I18" s="14"/>
      <c r="J18" s="14"/>
      <c r="K18" s="14"/>
      <c r="L18" s="14"/>
      <c r="M18" s="14"/>
      <c r="N18" s="14"/>
      <c r="O18" s="14"/>
      <c r="P18" s="14"/>
    </row>
    <row r="19" spans="1:16">
      <c r="A19" s="14" t="s">
        <v>339</v>
      </c>
      <c r="B19" s="14"/>
      <c r="C19" s="14"/>
      <c r="D19" s="14"/>
      <c r="E19" s="14"/>
      <c r="F19" s="14"/>
      <c r="G19" s="14"/>
      <c r="H19" s="14"/>
      <c r="I19" s="14"/>
      <c r="J19" s="14"/>
      <c r="K19" s="14"/>
      <c r="L19" s="14"/>
      <c r="M19" s="14"/>
      <c r="N19" s="14"/>
      <c r="O19" s="14"/>
      <c r="P19" s="14"/>
    </row>
    <row r="20" spans="1:16">
      <c r="A20" s="14" t="s">
        <v>340</v>
      </c>
      <c r="B20" s="14"/>
      <c r="C20" s="14"/>
      <c r="D20" s="14"/>
      <c r="E20" s="14"/>
      <c r="F20" s="14"/>
      <c r="G20" s="14"/>
      <c r="H20" s="14"/>
      <c r="I20" s="14"/>
      <c r="J20" s="14"/>
      <c r="K20" s="14"/>
      <c r="L20" s="14"/>
      <c r="M20" s="14"/>
      <c r="N20" s="14"/>
      <c r="O20" s="14"/>
      <c r="P20" s="14"/>
    </row>
    <row r="21" spans="1:16">
      <c r="A21" s="14" t="s">
        <v>341</v>
      </c>
      <c r="B21" s="14"/>
      <c r="C21" s="14"/>
      <c r="D21" s="14"/>
      <c r="E21" s="14"/>
      <c r="F21" s="14"/>
      <c r="G21" s="14"/>
      <c r="H21" s="14"/>
      <c r="I21" s="14"/>
      <c r="J21" s="14"/>
      <c r="K21" s="14"/>
      <c r="L21" s="14"/>
      <c r="M21" s="14"/>
      <c r="N21" s="14"/>
      <c r="O21" s="14"/>
      <c r="P21" s="14"/>
    </row>
    <row r="22" spans="1:16">
      <c r="A22" s="14" t="s">
        <v>342</v>
      </c>
      <c r="B22" s="14"/>
      <c r="C22" s="14"/>
      <c r="D22" s="14"/>
      <c r="E22" s="14"/>
      <c r="F22" s="14"/>
      <c r="G22" s="14"/>
      <c r="H22" s="14"/>
      <c r="I22" s="14"/>
      <c r="J22" s="14"/>
      <c r="K22" s="14"/>
      <c r="L22" s="14"/>
      <c r="M22" s="14"/>
      <c r="N22" s="14"/>
      <c r="O22" s="14"/>
      <c r="P22" s="14"/>
    </row>
    <row r="23" spans="1:16" ht="26">
      <c r="A23" s="14" t="s">
        <v>343</v>
      </c>
      <c r="B23" s="14"/>
      <c r="C23" s="14"/>
      <c r="D23" s="14"/>
      <c r="E23" s="14"/>
      <c r="F23" s="14"/>
      <c r="G23" s="14"/>
      <c r="H23" s="14"/>
      <c r="I23" s="14"/>
      <c r="J23" s="14"/>
      <c r="K23" s="14"/>
      <c r="L23" s="14"/>
      <c r="M23" s="14"/>
      <c r="N23" s="14"/>
      <c r="O23" s="14"/>
      <c r="P23" s="14"/>
    </row>
    <row r="24" spans="1:16" ht="26">
      <c r="A24" s="14" t="s">
        <v>344</v>
      </c>
      <c r="B24" s="14"/>
      <c r="C24" s="14"/>
      <c r="D24" s="14"/>
      <c r="E24" s="14"/>
      <c r="F24" s="14"/>
      <c r="G24" s="14"/>
      <c r="H24" s="14"/>
      <c r="I24" s="14"/>
      <c r="J24" s="14"/>
      <c r="K24" s="14"/>
      <c r="L24" s="14"/>
      <c r="M24" s="14"/>
      <c r="N24" s="14"/>
      <c r="O24" s="14"/>
      <c r="P24" s="14"/>
    </row>
    <row r="25" spans="1:16">
      <c r="B25" s="14"/>
      <c r="C25" s="14"/>
      <c r="D25" s="14"/>
      <c r="E25" s="14"/>
      <c r="F25" s="14"/>
      <c r="G25" s="14"/>
      <c r="H25" s="14"/>
      <c r="I25" s="14"/>
      <c r="J25" s="14"/>
      <c r="K25" s="14"/>
      <c r="L25" s="14"/>
      <c r="M25" s="14"/>
      <c r="N25" s="14"/>
      <c r="O25" s="14"/>
      <c r="P25" s="14"/>
    </row>
    <row r="26" spans="1:16">
      <c r="B26" s="14"/>
      <c r="C26" s="14"/>
      <c r="D26" s="14"/>
      <c r="E26" s="14"/>
      <c r="F26" s="14"/>
      <c r="G26" s="14"/>
      <c r="H26" s="14"/>
      <c r="I26" s="14"/>
      <c r="J26" s="14"/>
      <c r="K26" s="14"/>
      <c r="L26" s="14"/>
      <c r="M26" s="14"/>
      <c r="N26" s="14"/>
      <c r="O26" s="14"/>
      <c r="P26" s="14"/>
    </row>
    <row r="27" spans="1:16">
      <c r="B27" s="14"/>
      <c r="C27" s="14"/>
      <c r="D27" s="14"/>
      <c r="E27" s="14"/>
      <c r="F27" s="14"/>
      <c r="G27" s="14"/>
      <c r="H27" s="14"/>
      <c r="I27" s="14"/>
      <c r="J27" s="14"/>
      <c r="K27" s="14"/>
      <c r="L27" s="14"/>
      <c r="M27" s="14"/>
      <c r="N27" s="14"/>
      <c r="O27" s="14"/>
      <c r="P27" s="14"/>
    </row>
    <row r="28" spans="1:16">
      <c r="B28" s="14"/>
      <c r="C28" s="14"/>
      <c r="D28" s="14"/>
      <c r="E28" s="14"/>
      <c r="F28" s="14"/>
      <c r="G28" s="14"/>
      <c r="H28" s="14"/>
      <c r="I28" s="14"/>
      <c r="J28" s="14"/>
      <c r="K28" s="14"/>
      <c r="L28" s="14"/>
      <c r="M28" s="14"/>
      <c r="N28" s="14"/>
      <c r="O28" s="14"/>
      <c r="P28" s="14"/>
    </row>
    <row r="29" spans="1:16">
      <c r="B29" s="14"/>
      <c r="C29" s="14"/>
      <c r="D29" s="14"/>
      <c r="E29" s="14"/>
      <c r="F29" s="14"/>
      <c r="G29" s="14"/>
      <c r="H29" s="14"/>
      <c r="I29" s="14"/>
      <c r="J29" s="14"/>
      <c r="K29" s="14"/>
      <c r="L29" s="14"/>
      <c r="M29" s="14"/>
      <c r="N29" s="14"/>
      <c r="O29" s="14"/>
      <c r="P29" s="14"/>
    </row>
    <row r="30" spans="1:16">
      <c r="B30" s="14"/>
      <c r="C30" s="14"/>
      <c r="D30" s="14"/>
      <c r="E30" s="14"/>
      <c r="F30" s="14"/>
      <c r="G30" s="14"/>
      <c r="H30" s="14"/>
      <c r="I30" s="14"/>
      <c r="J30" s="14"/>
      <c r="K30" s="14"/>
      <c r="L30" s="14"/>
      <c r="M30" s="14"/>
      <c r="N30" s="14"/>
      <c r="O30" s="14"/>
      <c r="P30" s="14"/>
    </row>
    <row r="31" spans="1:16">
      <c r="B31" s="14"/>
      <c r="C31" s="14"/>
      <c r="D31" s="14"/>
      <c r="E31" s="14"/>
      <c r="F31" s="14"/>
      <c r="G31" s="14"/>
      <c r="H31" s="14"/>
      <c r="I31" s="14"/>
      <c r="J31" s="14"/>
      <c r="K31" s="14"/>
      <c r="L31" s="14"/>
      <c r="M31" s="14"/>
      <c r="N31" s="14"/>
      <c r="O31" s="14"/>
      <c r="P31" s="14"/>
    </row>
    <row r="32" spans="1:16">
      <c r="B32" s="14"/>
      <c r="C32" s="14"/>
      <c r="D32" s="14"/>
      <c r="E32" s="14"/>
      <c r="F32" s="14"/>
      <c r="G32" s="14"/>
      <c r="H32" s="14"/>
      <c r="I32" s="14"/>
      <c r="J32" s="14"/>
      <c r="K32" s="14"/>
      <c r="L32" s="14"/>
      <c r="M32" s="14"/>
      <c r="N32" s="14"/>
      <c r="O32" s="14"/>
      <c r="P32" s="14"/>
    </row>
    <row r="33" spans="1:16">
      <c r="B33" s="14"/>
      <c r="C33" s="14"/>
      <c r="D33" s="14"/>
      <c r="E33" s="14"/>
      <c r="F33" s="14"/>
      <c r="G33" s="14"/>
      <c r="H33" s="14"/>
      <c r="I33" s="14"/>
      <c r="J33" s="14"/>
      <c r="K33" s="14"/>
      <c r="L33" s="14"/>
      <c r="M33" s="14"/>
      <c r="N33" s="14"/>
      <c r="O33" s="14"/>
      <c r="P33" s="14"/>
    </row>
    <row r="34" spans="1:16">
      <c r="B34" s="14"/>
      <c r="C34" s="14"/>
      <c r="D34" s="14"/>
      <c r="E34" s="14"/>
      <c r="F34" s="14"/>
      <c r="G34" s="14"/>
      <c r="H34" s="14"/>
      <c r="I34" s="14"/>
      <c r="J34" s="14"/>
      <c r="K34" s="14"/>
      <c r="L34" s="14"/>
      <c r="M34" s="14"/>
      <c r="N34" s="14"/>
      <c r="O34" s="14"/>
      <c r="P34" s="14"/>
    </row>
    <row r="35" spans="1:16">
      <c r="B35" s="14"/>
      <c r="C35" s="14"/>
      <c r="D35" s="14"/>
      <c r="E35" s="14"/>
      <c r="F35" s="14"/>
      <c r="G35" s="14"/>
      <c r="H35" s="14"/>
      <c r="I35" s="14"/>
      <c r="J35" s="14"/>
      <c r="K35" s="14"/>
      <c r="L35" s="14"/>
      <c r="M35" s="14"/>
      <c r="N35" s="14"/>
      <c r="O35" s="14"/>
      <c r="P35" s="14"/>
    </row>
    <row r="36" spans="1:16">
      <c r="B36" s="14"/>
      <c r="C36" s="14"/>
      <c r="D36" s="14"/>
      <c r="E36" s="14"/>
      <c r="F36" s="14"/>
      <c r="G36" s="14"/>
      <c r="H36" s="14"/>
      <c r="I36" s="14"/>
      <c r="J36" s="14"/>
      <c r="K36" s="14"/>
      <c r="L36" s="14"/>
      <c r="M36" s="14"/>
      <c r="N36" s="14"/>
      <c r="O36" s="14"/>
      <c r="P36" s="14"/>
    </row>
    <row r="37" spans="1:16">
      <c r="B37" s="14"/>
      <c r="C37" s="14"/>
      <c r="D37" s="14"/>
      <c r="E37" s="14"/>
      <c r="F37" s="14"/>
      <c r="G37" s="14"/>
      <c r="H37" s="14"/>
      <c r="I37" s="14"/>
      <c r="J37" s="14"/>
      <c r="K37" s="14"/>
      <c r="L37" s="14"/>
      <c r="M37" s="14"/>
      <c r="N37" s="14"/>
      <c r="O37" s="14"/>
      <c r="P37" s="14"/>
    </row>
    <row r="38" spans="1:16">
      <c r="B38" s="14"/>
      <c r="C38" s="14"/>
      <c r="D38" s="14"/>
      <c r="E38" s="14"/>
      <c r="F38" s="14"/>
      <c r="G38" s="14"/>
      <c r="H38" s="14"/>
      <c r="I38" s="14"/>
      <c r="J38" s="14"/>
      <c r="K38" s="14"/>
      <c r="L38" s="14"/>
      <c r="M38" s="14"/>
      <c r="N38" s="14"/>
      <c r="O38" s="14"/>
      <c r="P38" s="14"/>
    </row>
    <row r="39" spans="1:16">
      <c r="B39" s="14"/>
      <c r="C39" s="14"/>
      <c r="D39" s="14"/>
      <c r="E39" s="14"/>
      <c r="F39" s="14"/>
      <c r="G39" s="14"/>
      <c r="H39" s="14"/>
      <c r="I39" s="14"/>
      <c r="J39" s="14"/>
      <c r="K39" s="14"/>
      <c r="L39" s="14"/>
      <c r="M39" s="14"/>
      <c r="N39" s="14"/>
      <c r="O39" s="14"/>
      <c r="P39" s="14"/>
    </row>
    <row r="40" spans="1:16">
      <c r="B40" s="14"/>
      <c r="C40" s="14"/>
      <c r="D40" s="14"/>
      <c r="E40" s="14"/>
      <c r="F40" s="14"/>
      <c r="G40" s="14"/>
      <c r="H40" s="14"/>
      <c r="I40" s="14"/>
      <c r="J40" s="14"/>
      <c r="K40" s="14"/>
      <c r="L40" s="14"/>
      <c r="M40" s="14"/>
      <c r="N40" s="14"/>
      <c r="O40" s="14"/>
      <c r="P40" s="14"/>
    </row>
    <row r="41" spans="1:16">
      <c r="B41" s="14"/>
      <c r="C41" s="14"/>
      <c r="D41" s="14"/>
      <c r="E41" s="14"/>
      <c r="F41" s="14"/>
      <c r="G41" s="14"/>
      <c r="H41" s="14"/>
      <c r="I41" s="14"/>
      <c r="J41" s="14"/>
      <c r="K41" s="14"/>
      <c r="L41" s="14"/>
      <c r="M41" s="14"/>
      <c r="N41" s="14"/>
      <c r="O41" s="14"/>
      <c r="P41" s="14"/>
    </row>
    <row r="42" spans="1:16" ht="12" customHeight="1">
      <c r="A42" s="68"/>
      <c r="B42" s="14"/>
      <c r="C42" s="14"/>
      <c r="D42" s="14"/>
      <c r="E42" s="14"/>
      <c r="F42" s="14"/>
      <c r="G42" s="14"/>
      <c r="H42" s="14"/>
      <c r="I42" s="14"/>
      <c r="J42" s="14"/>
      <c r="K42" s="14"/>
      <c r="L42" s="14"/>
      <c r="M42" s="14"/>
      <c r="N42" s="14"/>
      <c r="O42" s="14"/>
      <c r="P42" s="14"/>
    </row>
    <row r="43" spans="1:16">
      <c r="A43" s="16"/>
      <c r="B43" s="13"/>
      <c r="C43" s="13"/>
      <c r="D43" s="13"/>
      <c r="E43" s="13"/>
      <c r="F43" s="13"/>
      <c r="G43" s="13"/>
      <c r="H43" s="13"/>
      <c r="I43" s="13"/>
      <c r="J43" s="13"/>
      <c r="K43" s="13"/>
      <c r="L43" s="13"/>
      <c r="M43" s="13"/>
      <c r="N43" s="13"/>
      <c r="O43" s="13"/>
      <c r="P43" s="13"/>
    </row>
    <row r="44" spans="1:16">
      <c r="A44" s="68"/>
      <c r="B44" s="14"/>
      <c r="C44" s="14"/>
      <c r="D44" s="14"/>
      <c r="E44" s="14"/>
      <c r="F44" s="14"/>
      <c r="G44" s="14"/>
      <c r="H44" s="14"/>
      <c r="I44" s="14"/>
      <c r="J44" s="14"/>
      <c r="K44" s="14"/>
      <c r="L44" s="14"/>
      <c r="M44" s="14"/>
      <c r="N44" s="14"/>
      <c r="O44" s="14"/>
      <c r="P44" s="14"/>
    </row>
    <row r="45" spans="1:16">
      <c r="A45" s="68"/>
      <c r="B45" s="14"/>
      <c r="C45" s="14"/>
      <c r="D45" s="14"/>
      <c r="E45" s="14"/>
      <c r="F45" s="14"/>
      <c r="G45" s="14"/>
      <c r="H45" s="14"/>
      <c r="I45" s="14"/>
      <c r="J45" s="14"/>
      <c r="K45" s="14"/>
      <c r="L45" s="14"/>
      <c r="M45" s="14"/>
      <c r="N45" s="14"/>
      <c r="O45" s="14"/>
      <c r="P45" s="14"/>
    </row>
    <row r="46" spans="1:16">
      <c r="A46" s="68"/>
      <c r="B46" s="14"/>
      <c r="C46" s="14"/>
      <c r="D46" s="14"/>
      <c r="E46" s="14"/>
      <c r="F46" s="14"/>
      <c r="G46" s="14"/>
      <c r="H46" s="14"/>
      <c r="I46" s="14"/>
      <c r="J46" s="14"/>
      <c r="K46" s="14"/>
      <c r="L46" s="14"/>
      <c r="M46" s="14"/>
      <c r="N46" s="14"/>
      <c r="O46" s="14"/>
      <c r="P46" s="14"/>
    </row>
    <row r="47" spans="1:16">
      <c r="A47" s="68"/>
      <c r="B47" s="14"/>
      <c r="C47" s="14"/>
      <c r="D47" s="14"/>
      <c r="E47" s="14"/>
      <c r="F47" s="14"/>
      <c r="G47" s="14"/>
      <c r="H47" s="14"/>
      <c r="I47" s="14"/>
      <c r="J47" s="14"/>
      <c r="K47" s="14"/>
      <c r="L47" s="14"/>
      <c r="M47" s="14"/>
      <c r="N47" s="14"/>
      <c r="O47" s="14"/>
      <c r="P47" s="14"/>
    </row>
    <row r="48" spans="1:16">
      <c r="A48" s="13"/>
    </row>
  </sheetData>
  <phoneticPr fontId="63" type="noConversion"/>
  <printOptions horizontalCentered="1" verticalCentered="1"/>
  <pageMargins left="0" right="0" top="0.39370078740157483" bottom="0.39370078740157483" header="0" footer="0"/>
  <pageSetup paperSize="9" orientation="portrait" blackAndWhite="1"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pageSetUpPr fitToPage="1"/>
  </sheetPr>
  <dimension ref="A1:M48"/>
  <sheetViews>
    <sheetView workbookViewId="0">
      <selection activeCell="B1" sqref="B1"/>
    </sheetView>
  </sheetViews>
  <sheetFormatPr defaultColWidth="9" defaultRowHeight="13"/>
  <cols>
    <col min="1" max="1" width="2.08203125" style="30" customWidth="1"/>
    <col min="2" max="12" width="8.58203125" style="30" customWidth="1"/>
    <col min="13" max="16384" width="9" style="30"/>
  </cols>
  <sheetData>
    <row r="1" spans="1:13" ht="30" customHeight="1">
      <c r="A1" s="20" t="s">
        <v>107</v>
      </c>
      <c r="B1" s="103"/>
      <c r="M1" s="33"/>
    </row>
    <row r="2" spans="1:13" ht="18" customHeight="1">
      <c r="B2" s="34"/>
    </row>
    <row r="3" spans="1:13" ht="6" customHeight="1"/>
    <row r="4" spans="1:13">
      <c r="B4" s="31" t="s">
        <v>242</v>
      </c>
      <c r="C4" s="32" t="s">
        <v>243</v>
      </c>
      <c r="D4" s="32"/>
      <c r="E4" s="32"/>
      <c r="F4" s="32"/>
      <c r="G4" s="32"/>
      <c r="H4" s="32"/>
      <c r="I4" s="32"/>
      <c r="J4" s="32"/>
      <c r="K4" s="32"/>
      <c r="L4" s="32"/>
      <c r="M4" s="6"/>
    </row>
    <row r="5" spans="1:13">
      <c r="B5" s="32"/>
      <c r="C5" s="32"/>
      <c r="D5" s="32"/>
      <c r="E5" s="32"/>
      <c r="F5" s="32"/>
      <c r="G5" s="32"/>
      <c r="H5" s="32"/>
      <c r="I5" s="32"/>
      <c r="J5" s="32"/>
      <c r="K5" s="32"/>
      <c r="L5" s="32"/>
      <c r="M5" s="6"/>
    </row>
    <row r="6" spans="1:13">
      <c r="B6" s="32"/>
      <c r="C6" s="32"/>
      <c r="D6" s="32"/>
      <c r="E6" s="32"/>
      <c r="F6" s="32"/>
      <c r="G6" s="32"/>
      <c r="H6" s="32"/>
      <c r="I6" s="32"/>
      <c r="J6" s="32"/>
      <c r="K6" s="32"/>
      <c r="L6" s="32"/>
      <c r="M6" s="6"/>
    </row>
    <row r="7" spans="1:13">
      <c r="B7" s="32"/>
      <c r="C7" s="32"/>
      <c r="D7" s="32"/>
      <c r="E7" s="32"/>
      <c r="F7" s="32"/>
      <c r="G7" s="32"/>
      <c r="H7" s="32"/>
      <c r="I7" s="32"/>
      <c r="J7" s="32"/>
      <c r="K7" s="32"/>
      <c r="L7" s="32"/>
      <c r="M7" s="6"/>
    </row>
    <row r="8" spans="1:13">
      <c r="B8" s="32"/>
      <c r="C8" s="32"/>
      <c r="D8" s="32"/>
      <c r="E8" s="32"/>
      <c r="F8" s="32"/>
      <c r="G8" s="32"/>
      <c r="H8" s="32"/>
      <c r="I8" s="32"/>
      <c r="J8" s="32"/>
      <c r="K8" s="32"/>
      <c r="L8" s="32"/>
      <c r="M8" s="6"/>
    </row>
    <row r="9" spans="1:13">
      <c r="B9" s="32"/>
      <c r="C9" s="32"/>
      <c r="D9" s="32"/>
      <c r="E9" s="32"/>
      <c r="F9" s="32"/>
      <c r="G9" s="32"/>
      <c r="H9" s="32"/>
      <c r="I9" s="32"/>
      <c r="J9" s="32"/>
      <c r="K9" s="32"/>
      <c r="L9" s="32"/>
      <c r="M9" s="6"/>
    </row>
    <row r="10" spans="1:13">
      <c r="B10" s="32"/>
      <c r="C10" s="32"/>
      <c r="D10" s="32"/>
      <c r="E10" s="32"/>
      <c r="F10" s="32"/>
      <c r="G10" s="32"/>
      <c r="H10" s="32"/>
      <c r="I10" s="32"/>
      <c r="J10" s="32"/>
      <c r="K10" s="32"/>
      <c r="L10" s="32"/>
      <c r="M10" s="6"/>
    </row>
    <row r="11" spans="1:13">
      <c r="B11" s="32"/>
      <c r="C11" s="32"/>
      <c r="D11" s="32"/>
      <c r="E11" s="32"/>
      <c r="F11" s="32"/>
      <c r="G11" s="32"/>
      <c r="H11" s="32"/>
      <c r="I11" s="32"/>
      <c r="J11" s="32"/>
      <c r="K11" s="32"/>
      <c r="L11" s="32"/>
      <c r="M11" s="6"/>
    </row>
    <row r="12" spans="1:13">
      <c r="B12" s="32"/>
      <c r="C12" s="32"/>
      <c r="D12" s="32"/>
      <c r="E12" s="32"/>
      <c r="F12" s="32"/>
      <c r="G12" s="32"/>
      <c r="H12" s="32"/>
      <c r="I12" s="32"/>
      <c r="J12" s="32"/>
      <c r="K12" s="32"/>
      <c r="L12" s="32"/>
      <c r="M12" s="6"/>
    </row>
    <row r="13" spans="1:13">
      <c r="B13" s="32"/>
      <c r="C13" s="32"/>
      <c r="D13" s="32"/>
      <c r="E13" s="32"/>
      <c r="F13" s="32"/>
      <c r="G13" s="32"/>
      <c r="H13" s="32"/>
      <c r="I13" s="32"/>
      <c r="J13" s="32"/>
      <c r="K13" s="32"/>
      <c r="L13" s="32"/>
      <c r="M13" s="6"/>
    </row>
    <row r="14" spans="1:13">
      <c r="B14" s="32"/>
      <c r="C14" s="32"/>
      <c r="D14" s="32"/>
      <c r="E14" s="32"/>
      <c r="F14" s="32"/>
      <c r="G14" s="32"/>
      <c r="H14" s="32"/>
      <c r="I14" s="32"/>
      <c r="J14" s="32"/>
      <c r="K14" s="32"/>
      <c r="L14" s="32"/>
      <c r="M14" s="6"/>
    </row>
    <row r="15" spans="1:13">
      <c r="B15" s="32"/>
      <c r="C15" s="32"/>
      <c r="D15" s="32"/>
      <c r="E15" s="32"/>
      <c r="F15" s="32"/>
      <c r="G15" s="32"/>
      <c r="H15" s="32"/>
      <c r="I15" s="32"/>
      <c r="J15" s="32"/>
      <c r="K15" s="32"/>
      <c r="L15" s="32"/>
      <c r="M15" s="6"/>
    </row>
    <row r="16" spans="1:13">
      <c r="B16" s="32"/>
      <c r="C16" s="32"/>
      <c r="D16" s="32"/>
      <c r="E16" s="32"/>
      <c r="F16" s="32"/>
      <c r="G16" s="32"/>
      <c r="H16" s="32"/>
      <c r="I16" s="32"/>
      <c r="J16" s="32"/>
      <c r="K16" s="32"/>
      <c r="L16" s="32"/>
      <c r="M16" s="6"/>
    </row>
    <row r="17" spans="2:13">
      <c r="B17" s="32"/>
      <c r="C17" s="32"/>
      <c r="D17" s="32"/>
      <c r="E17" s="32"/>
      <c r="F17" s="32"/>
      <c r="G17" s="32"/>
      <c r="H17" s="32"/>
      <c r="I17" s="32"/>
      <c r="J17" s="32"/>
      <c r="K17" s="32"/>
      <c r="L17" s="32"/>
      <c r="M17" s="6"/>
    </row>
    <row r="18" spans="2:13">
      <c r="B18" s="32"/>
      <c r="C18" s="32"/>
      <c r="D18" s="32"/>
      <c r="E18" s="32"/>
      <c r="F18" s="32"/>
      <c r="G18" s="32"/>
      <c r="H18" s="32"/>
      <c r="I18" s="32"/>
      <c r="J18" s="32"/>
      <c r="K18" s="32"/>
      <c r="L18" s="32"/>
      <c r="M18" s="6"/>
    </row>
    <row r="19" spans="2:13">
      <c r="B19" s="32"/>
      <c r="C19" s="32"/>
      <c r="D19" s="32"/>
      <c r="E19" s="32"/>
      <c r="F19" s="32"/>
      <c r="G19" s="32"/>
      <c r="H19" s="32"/>
      <c r="I19" s="32"/>
      <c r="J19" s="32"/>
      <c r="K19" s="32"/>
      <c r="L19" s="32"/>
      <c r="M19" s="6"/>
    </row>
    <row r="20" spans="2:13">
      <c r="B20" s="32"/>
      <c r="C20" s="32"/>
      <c r="D20" s="32"/>
      <c r="E20" s="32"/>
      <c r="F20" s="32"/>
      <c r="G20" s="32"/>
      <c r="H20" s="32"/>
      <c r="I20" s="32"/>
      <c r="J20" s="32"/>
      <c r="K20" s="32"/>
      <c r="L20" s="32"/>
      <c r="M20" s="6"/>
    </row>
    <row r="21" spans="2:13">
      <c r="B21" s="32"/>
      <c r="C21" s="32"/>
      <c r="D21" s="32"/>
      <c r="E21" s="32"/>
      <c r="F21" s="32"/>
      <c r="G21" s="32"/>
      <c r="H21" s="32"/>
      <c r="I21" s="32"/>
      <c r="J21" s="32"/>
      <c r="K21" s="32"/>
      <c r="L21" s="32"/>
      <c r="M21" s="6"/>
    </row>
    <row r="22" spans="2:13">
      <c r="B22" s="32"/>
      <c r="C22" s="32"/>
      <c r="D22" s="32"/>
      <c r="E22" s="32"/>
      <c r="F22" s="32"/>
      <c r="G22" s="32"/>
      <c r="H22" s="32"/>
      <c r="I22" s="32"/>
      <c r="J22" s="32"/>
      <c r="K22" s="32"/>
      <c r="L22" s="32"/>
      <c r="M22" s="6"/>
    </row>
    <row r="23" spans="2:13">
      <c r="B23" s="26" t="s">
        <v>244</v>
      </c>
      <c r="C23" s="10"/>
      <c r="D23" s="27"/>
      <c r="E23" s="27"/>
      <c r="F23" s="27"/>
      <c r="G23" s="27"/>
      <c r="H23" s="27"/>
      <c r="I23" s="27"/>
      <c r="J23" s="27"/>
      <c r="K23" s="27"/>
      <c r="L23" s="27"/>
      <c r="M23" s="6"/>
    </row>
    <row r="24" spans="2:13" ht="6" customHeight="1"/>
    <row r="25" spans="2:13" ht="15" customHeight="1">
      <c r="B25" s="28" t="s">
        <v>245</v>
      </c>
      <c r="C25" s="4"/>
    </row>
    <row r="26" spans="2:13" ht="15" customHeight="1">
      <c r="B26" s="28"/>
      <c r="C26" s="4"/>
    </row>
    <row r="27" spans="2:13" ht="15" customHeight="1">
      <c r="B27" s="28"/>
      <c r="C27" s="4"/>
    </row>
    <row r="28" spans="2:13" ht="15" customHeight="1">
      <c r="B28" s="28"/>
      <c r="C28" s="4"/>
    </row>
    <row r="29" spans="2:13" ht="15" customHeight="1">
      <c r="B29" s="4"/>
      <c r="C29" s="4"/>
    </row>
    <row r="30" spans="2:13" ht="15" customHeight="1">
      <c r="B30" s="29" t="s">
        <v>246</v>
      </c>
      <c r="C30" s="69" t="s">
        <v>229</v>
      </c>
    </row>
    <row r="31" spans="2:13" ht="15" customHeight="1">
      <c r="B31" s="4"/>
      <c r="C31" s="69"/>
    </row>
    <row r="32" spans="2:13" ht="15" customHeight="1">
      <c r="B32" s="28" t="s">
        <v>247</v>
      </c>
      <c r="C32" s="69" t="s">
        <v>317</v>
      </c>
    </row>
    <row r="33" spans="3:3">
      <c r="C33" s="7"/>
    </row>
    <row r="34" spans="3:3">
      <c r="C34" s="7"/>
    </row>
    <row r="35" spans="3:3" hidden="1">
      <c r="C35" s="70" t="str">
        <f>CS!$E$5</f>
        <v>无</v>
      </c>
    </row>
    <row r="36" spans="3:3" hidden="1">
      <c r="C36" s="70" t="str">
        <f>CS!$E$6</f>
        <v>参见A01-FL:</v>
      </c>
    </row>
    <row r="37" spans="3:3" hidden="1">
      <c r="C37" s="70" t="str">
        <f>IF(CS!$E$7="","",CS!$E$7)</f>
        <v/>
      </c>
    </row>
    <row r="38" spans="3:3" hidden="1">
      <c r="C38" s="7"/>
    </row>
    <row r="39" spans="3:3" hidden="1">
      <c r="C39" s="7" t="str">
        <f>CS!$D$5</f>
        <v>经审计调整后，余额可以确认。</v>
      </c>
    </row>
    <row r="40" spans="3:3" hidden="1">
      <c r="C40" s="7" t="str">
        <f>CS!$D$6</f>
        <v>经审计后，无调整事项，余额可以确认。</v>
      </c>
    </row>
    <row r="41" spans="3:3" hidden="1">
      <c r="C41" s="7" t="str">
        <f>CS!$D$7</f>
        <v>经审计调整后，发生额可以确认。</v>
      </c>
    </row>
    <row r="42" spans="3:3" hidden="1">
      <c r="C42" s="7" t="str">
        <f>CS!$D$8</f>
        <v>经审计后，无调整事项，发生额可以确认。</v>
      </c>
    </row>
    <row r="43" spans="3:3" hidden="1">
      <c r="C43" s="7" t="str">
        <f>CS!$D$9</f>
        <v>经审计测试后，未见异常。</v>
      </c>
    </row>
    <row r="44" spans="3:3" hidden="1">
      <c r="C44" s="7" t="str">
        <f>CS!$D$10</f>
        <v>经我们审计，除上述说明事项外，未发现其他重大异常。</v>
      </c>
    </row>
    <row r="45" spans="3:3" hidden="1">
      <c r="C45" s="7" t="str">
        <f>CS!$D$11</f>
        <v>[自定义审计结论1…]</v>
      </c>
    </row>
    <row r="46" spans="3:3" hidden="1">
      <c r="C46" s="7" t="str">
        <f>CS!$D$12</f>
        <v>[自定义审计结论2…]</v>
      </c>
    </row>
    <row r="47" spans="3:3" hidden="1">
      <c r="C47" s="7" t="str">
        <f>CS!$D$13</f>
        <v>[自定义审计结论3…]</v>
      </c>
    </row>
    <row r="48" spans="3:3">
      <c r="C48" s="71"/>
    </row>
  </sheetData>
  <phoneticPr fontId="63" type="noConversion"/>
  <dataValidations count="2">
    <dataValidation type="list" allowBlank="1" showInputMessage="1" showErrorMessage="1" sqref="C30" xr:uid="{00000000-0002-0000-0700-000000000000}">
      <formula1>C35:C37</formula1>
    </dataValidation>
    <dataValidation type="list" allowBlank="1" showInputMessage="1" showErrorMessage="1" sqref="C32" xr:uid="{00000000-0002-0000-0700-000001000000}">
      <formula1>C39:C47</formula1>
    </dataValidation>
  </dataValidations>
  <hyperlinks>
    <hyperlink ref="A1" location="index!A1" tooltip="单击此处将定位到表[index]" display="&lt;&lt;" xr:uid="{00000000-0004-0000-0700-000000000000}"/>
  </hyperlinks>
  <printOptions horizontalCentered="1"/>
  <pageMargins left="0.78740157480314965" right="0.19685039370078741" top="0.78740157480314965" bottom="0.39370078740157483" header="0" footer="0"/>
  <pageSetup paperSize="9"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index</vt:lpstr>
      <vt:lpstr>WP-00</vt:lpstr>
      <vt:lpstr>WP-01</vt:lpstr>
      <vt:lpstr>WP-02</vt:lpstr>
      <vt:lpstr>WP-03</vt:lpstr>
      <vt:lpstr>WP-04</vt:lpstr>
      <vt:lpstr>CS</vt:lpstr>
      <vt:lpstr>Tips</vt:lpstr>
      <vt:lpstr>CS!Print_Area</vt:lpstr>
      <vt:lpstr>index!Print_Area</vt:lpstr>
      <vt:lpstr>MB!Print_Area</vt:lpstr>
      <vt:lpstr>'WP-00'!Print_Area</vt:lpstr>
      <vt:lpstr>'WP-01'!Print_Area</vt:lpstr>
      <vt:lpstr>'WP-02'!Print_Area</vt:lpstr>
      <vt:lpstr>'WP-03'!Print_Area</vt:lpstr>
      <vt:lpstr>'WP-04'!Print_Area</vt:lpstr>
      <vt:lpstr>'WP-01'!Print_Titles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di</cp:lastModifiedBy>
  <cp:lastPrinted>2018-11-17T11:19:41Z</cp:lastPrinted>
  <dcterms:created xsi:type="dcterms:W3CDTF">1996-12-17T01:32:42Z</dcterms:created>
  <dcterms:modified xsi:type="dcterms:W3CDTF">2022-03-01T07:51:05Z</dcterms:modified>
</cp:coreProperties>
</file>